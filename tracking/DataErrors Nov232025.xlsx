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ecutiveSearchYaml\tracking\"/>
    </mc:Choice>
  </mc:AlternateContent>
  <xr:revisionPtr revIDLastSave="0" documentId="13_ncr:1_{E1D4AEFC-7918-456E-8344-123E22EDC6FD}" xr6:coauthVersionLast="47" xr6:coauthVersionMax="47" xr10:uidLastSave="{00000000-0000-0000-0000-000000000000}"/>
  <bookViews>
    <workbookView xWindow="19110" yWindow="6750" windowWidth="19380" windowHeight="14220" activeTab="3" xr2:uid="{39F0316D-3371-401B-8CC7-FBDE6C451624}"/>
  </bookViews>
  <sheets>
    <sheet name="Sheet1" sheetId="1" r:id="rId1"/>
    <sheet name="Sheet2" sheetId="2" r:id="rId2"/>
    <sheet name="Followup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H22" i="2"/>
  <c r="I22" i="2"/>
  <c r="J22" i="2"/>
  <c r="K22" i="2"/>
  <c r="G22" i="2"/>
  <c r="M2" i="1"/>
  <c r="M3" i="1"/>
  <c r="M1" i="1"/>
</calcChain>
</file>

<file path=xl/sharedStrings.xml><?xml version="1.0" encoding="utf-8"?>
<sst xmlns="http://schemas.openxmlformats.org/spreadsheetml/2006/main" count="629" uniqueCount="197">
  <si>
    <t>MOOSE FACTORY WEENEEBAYKO AREA</t>
  </si>
  <si>
    <t>Small Hospital</t>
  </si>
  <si>
    <t>NA</t>
  </si>
  <si>
    <t>failed</t>
  </si>
  <si>
    <t>https://www.waha.ca/about/executive/</t>
  </si>
  <si>
    <t>h2_name_p_title</t>
  </si>
  <si>
    <t>SUDBURY ST.JOSEPHS CONTINUING CARE</t>
  </si>
  <si>
    <t>https://www.sjsudbury.com/index.php/st-josephs-health-centre/our-leaders-sjhc/</t>
  </si>
  <si>
    <t>combined_h2</t>
  </si>
  <si>
    <t>OTTAWA HEART INSTITUTE</t>
  </si>
  <si>
    <t>Teaching Hospital</t>
  </si>
  <si>
    <t>https://www.ottawaheart.ca/who-we-are/governance-and-leadership/our-management-team</t>
  </si>
  <si>
    <t>SUDBURY HEALTH SCIENCES NORTH</t>
  </si>
  <si>
    <t>https://hsnsudbury.ca/en/About-Us/Leadership-at-HSN/Senior-Management-Team</t>
  </si>
  <si>
    <t>OTTAWA THE OTTAWA HOSPITAL</t>
  </si>
  <si>
    <t>https://www.ottawahospital.on.ca/en/about-us/our-leadership-team/senior-management-team/</t>
  </si>
  <si>
    <t>TORONTO ADDICTION &amp; MENTAL HEALTH</t>
  </si>
  <si>
    <t>Specialty Mental Health Hospital</t>
  </si>
  <si>
    <t>https://www.camh.ca/en/driving-change/about-camh/leadership-team-directory?facets=filter_tags:B1EC0C85877A430C82780319BF2F0774</t>
  </si>
  <si>
    <t>RED LAKE MARG COCHENOUR MEMORIAL</t>
  </si>
  <si>
    <t>https://www.redlakehospital.ca/leadershipteam?s=1</t>
  </si>
  <si>
    <t>NEW LISKEARD TEMISKAMING HOSPITAL</t>
  </si>
  <si>
    <t>https://www.temiskaming-hospital.com/board-of-directors</t>
  </si>
  <si>
    <t>TORONTO SA GRACE</t>
  </si>
  <si>
    <t>https://www.torontograce.org/about-tghc/senior-management-team/</t>
  </si>
  <si>
    <t>p_with_bold_and_br</t>
  </si>
  <si>
    <t>HAWKESBURY &amp; DISTRICT GENERAL</t>
  </si>
  <si>
    <t>https://hgh.ca/about-hgh/leadership-team/</t>
  </si>
  <si>
    <t>RENFREW VICTORIA</t>
  </si>
  <si>
    <t>https://www.renfrewhosp.com/srmanagement</t>
  </si>
  <si>
    <t>OTTAWA CHEO CTC</t>
  </si>
  <si>
    <t>Specialty Children Hospital</t>
  </si>
  <si>
    <t>https://www.cheo.on.ca/en/about-us/senior-leadership.aspx?_mid_=1829</t>
  </si>
  <si>
    <t>KEMPTVILLE DISTRICT</t>
  </si>
  <si>
    <t>https://kdh.on.ca/about-kemptville-district-hospital/leadership-team/</t>
  </si>
  <si>
    <t>MATHESON BINGHAM MEMORIAL</t>
  </si>
  <si>
    <t>https://www.micsgroup.com/governance/board-of-directors/</t>
  </si>
  <si>
    <t>p_with_br_list_reversed</t>
  </si>
  <si>
    <t>WAWA LADY DUNN HC</t>
  </si>
  <si>
    <t>https://ldhc.com/About-Us/Board-of-Directors</t>
  </si>
  <si>
    <t>MICS Group IROQUOIS FALLS ANSON GENERAL</t>
  </si>
  <si>
    <t>HEARST NOTRE DAME</t>
  </si>
  <si>
    <t>https://www.ndh.on.ca/board-of-directors/</t>
  </si>
  <si>
    <t>HANOVER &amp; DISTRICT</t>
  </si>
  <si>
    <t>https://www.hanoverhospital.on.ca/our-team</t>
  </si>
  <si>
    <t>HAMILTON ST JOSEPH'S</t>
  </si>
  <si>
    <t>https://www.stjoes.ca/about/our-leadership/our-executive-team</t>
  </si>
  <si>
    <t>Huron HealthGODERICH ALEXANDRA MARINE &amp; GEN</t>
  </si>
  <si>
    <t>https://www.huronhealthsystem.ca/leadership</t>
  </si>
  <si>
    <t>Huron Health EXETER SOUTH HURON</t>
  </si>
  <si>
    <t>DUNNVILLE HALDIMAND WAR MEMORIAL</t>
  </si>
  <si>
    <t>https://www.hwmh.ca/about-us/senior-team/</t>
  </si>
  <si>
    <t>DEEP RIVER AND DISTRICT</t>
  </si>
  <si>
    <t>https://www.drdh.org/leadershipteam</t>
  </si>
  <si>
    <t>MICS GROUP COCHRANE LADY MINTO</t>
  </si>
  <si>
    <t>BLIND RIVER NORTH SHORE HN</t>
  </si>
  <si>
    <t>https://www.nshn.care/senior-leadership-team</t>
  </si>
  <si>
    <t>SAULT STE MARIE SAULT AREA</t>
  </si>
  <si>
    <t>Large Community Hospital</t>
  </si>
  <si>
    <t>https://sah.on.ca/about/hospital-leadership/senior-leadership-team/</t>
  </si>
  <si>
    <t>ST CATHARINES NIAGARA HEALTH SYSTEM</t>
  </si>
  <si>
    <t>https://www.niagarahealth.on.ca/site/leadership-team</t>
  </si>
  <si>
    <t>HEADWATERS</t>
  </si>
  <si>
    <t>https://www.headwatershealth.ca/who-we-are/governance/executive-leadership-team/</t>
  </si>
  <si>
    <t>NEWMARKET SOUTHLAKE REGIONAL</t>
  </si>
  <si>
    <t>https://southlake.ca/about-southlake/leadership-team/</t>
  </si>
  <si>
    <t>div_classes</t>
  </si>
  <si>
    <t>MIDLAND GEORGIAN BAY</t>
  </si>
  <si>
    <t>https://gbgh.on.ca/about-us/senior-leadership-team/</t>
  </si>
  <si>
    <t>Sunnybrook Health Sciences Centre</t>
  </si>
  <si>
    <t>https://sunnybrook.ca/content/?page=executive-leadership</t>
  </si>
  <si>
    <t>Humber River Hospital</t>
  </si>
  <si>
    <t>https://www.hrh.ca/who-we-are/accountability/governance-leadership/</t>
  </si>
  <si>
    <t>North York General Hospital</t>
  </si>
  <si>
    <t>https://www.nygh.on.ca/about-us/leadership-team/</t>
  </si>
  <si>
    <t>Elizabeth Bruyere Hospital</t>
  </si>
  <si>
    <t>Chronic/Rehab Hospital</t>
  </si>
  <si>
    <t>https://www.bruyere.org/en/leadership-team?v=1</t>
  </si>
  <si>
    <t>FAC</t>
  </si>
  <si>
    <t>$ operator is invalid for atomic vector</t>
  </si>
  <si>
    <t>pattern</t>
  </si>
  <si>
    <t>Robot</t>
  </si>
  <si>
    <t>error</t>
  </si>
  <si>
    <t>allowed</t>
  </si>
  <si>
    <t>$ operator is invalid for atomic vectors</t>
  </si>
  <si>
    <t>North York General</t>
  </si>
  <si>
    <t>Hospital</t>
  </si>
  <si>
    <t>RT</t>
  </si>
  <si>
    <t>ERROR</t>
  </si>
  <si>
    <t>Problem list</t>
  </si>
  <si>
    <t xml:space="preserve">Pattern </t>
  </si>
  <si>
    <t>issue</t>
  </si>
  <si>
    <t>Titles in Names, names missing</t>
  </si>
  <si>
    <t>test group</t>
  </si>
  <si>
    <t>Pattern</t>
  </si>
  <si>
    <t>COMPLETE</t>
  </si>
  <si>
    <t>NO_RESULTS</t>
  </si>
  <si>
    <t>EXTRA</t>
  </si>
  <si>
    <t>INCOMPLETE</t>
  </si>
  <si>
    <t>completionRate</t>
  </si>
  <si>
    <t>table_rows</t>
  </si>
  <si>
    <t>p_strong_combined</t>
  </si>
  <si>
    <t>table_cells</t>
  </si>
  <si>
    <t>h2_name_h3_title</t>
  </si>
  <si>
    <t>nested_list_with_ids</t>
  </si>
  <si>
    <t>boardcard_gallery</t>
  </si>
  <si>
    <t>qch_mixed_tables</t>
  </si>
  <si>
    <t>h2_combined_complex</t>
  </si>
  <si>
    <t>manual_entry_required</t>
  </si>
  <si>
    <t>div_container_multiclass</t>
  </si>
  <si>
    <t>list_items</t>
  </si>
  <si>
    <t>Showing 1 to 16 of 16 entries, 7 total columns</t>
  </si>
  <si>
    <t>Expected</t>
  </si>
  <si>
    <t>Found</t>
  </si>
  <si>
    <t>Status</t>
  </si>
  <si>
    <t>Success_Rate</t>
  </si>
  <si>
    <t>Issues</t>
  </si>
  <si>
    <t>cannot open the connection</t>
  </si>
  <si>
    <t>MOUNT FOREST NORTH WELLINGTON HC</t>
  </si>
  <si>
    <t>STURGEON FALLS WEST NIPISSING</t>
  </si>
  <si>
    <t>ALEXANDRIA GLENGARRY</t>
  </si>
  <si>
    <t>NIPIGON DISTRICT MEMORIAL</t>
  </si>
  <si>
    <t>KIRKLAND &amp; DISTRICT</t>
  </si>
  <si>
    <t>WHCA Grove community hospital</t>
  </si>
  <si>
    <t>Blanche River ENGLEHART &amp; DISTRICT</t>
  </si>
  <si>
    <t>Middlesex Hospital Alliance NEWBURY FOUR COUNTIES HEALTH SERV.</t>
  </si>
  <si>
    <t>NAPANEE LENNOX &amp; ADDINGTON</t>
  </si>
  <si>
    <t>ATIKOKAN GENERAL HOSPITAL</t>
  </si>
  <si>
    <t>Middlesex Hosptial Alliance  STRATHROY MIDDLESEX GENERAL</t>
  </si>
  <si>
    <t>Lakeridge Health</t>
  </si>
  <si>
    <t>TORONTO UNIVERSITY HEALTH NETWORK</t>
  </si>
  <si>
    <t>ST CATHARINES HOTEL DIEU</t>
  </si>
  <si>
    <t>TORONTO RUNNYMEDE HC</t>
  </si>
  <si>
    <t>Windsor Hotel Dieu Grace</t>
  </si>
  <si>
    <t>Blanche River Health</t>
  </si>
  <si>
    <t>LONDON ST JOSEPHS</t>
  </si>
  <si>
    <t>Listowel Wingham LISTOWEL MEMORIAL</t>
  </si>
  <si>
    <t>ARNPRIOR &amp; DISTRICT MEMORIAL</t>
  </si>
  <si>
    <t>WRHN-KITCHENER ST MARY'S</t>
  </si>
  <si>
    <t>WRHN-KITCHENER GRAND RIVER</t>
  </si>
  <si>
    <t>SMOOTH ROCK FALLS</t>
  </si>
  <si>
    <t>Showing 1 to 26 of 38 entries, 8 total columns</t>
  </si>
  <si>
    <t>Reso</t>
  </si>
  <si>
    <t>Still  have title/name errors</t>
  </si>
  <si>
    <t>Fixed … BUT didn't find Treasurer</t>
  </si>
  <si>
    <t>Fixed</t>
  </si>
  <si>
    <t xml:space="preserve">Fixed </t>
  </si>
  <si>
    <t>fixed</t>
  </si>
  <si>
    <t>Name Split badly  Nick Migliore Chair                 → Board of Directors</t>
  </si>
  <si>
    <t>blocked</t>
  </si>
  <si>
    <t>fac_number</t>
  </si>
  <si>
    <t>person_name</t>
  </si>
  <si>
    <t>credentials</t>
  </si>
  <si>
    <t>SpacesINName</t>
  </si>
  <si>
    <t>StartSub[, "start"]</t>
  </si>
  <si>
    <t>StartSub[, "end"]</t>
  </si>
  <si>
    <t>EndSub</t>
  </si>
  <si>
    <t>extraCredentials</t>
  </si>
  <si>
    <t>Ian S. Spencer, GSC, CET</t>
  </si>
  <si>
    <t>, GSC, CET</t>
  </si>
  <si>
    <t>David Birnie (Hons), MB ChB, MRCP(UK)</t>
  </si>
  <si>
    <t>BSc, MD</t>
  </si>
  <si>
    <t>Hons), MB ChB, MRCP(UK)</t>
  </si>
  <si>
    <t>Bonnie Bowes, MHScN</t>
  </si>
  <si>
    <t>RN, BScN</t>
  </si>
  <si>
    <t>MHScN</t>
  </si>
  <si>
    <t>Timothy Zakutney, MHSc, CCE, FCMBES</t>
  </si>
  <si>
    <t>PEng</t>
  </si>
  <si>
    <t>ey, MHSc, CCE, FCMBES</t>
  </si>
  <si>
    <t>Erika MacPhee, MHScN</t>
  </si>
  <si>
    <t>RN</t>
  </si>
  <si>
    <t> MHScN</t>
  </si>
  <si>
    <t>Susan B. Walsh, FCCHL</t>
  </si>
  <si>
    <t>RN, MSc, MBA</t>
  </si>
  <si>
    <t>, FCCHL</t>
  </si>
  <si>
    <t>Jennifer Gillard (Hons), ABC</t>
  </si>
  <si>
    <t>BA, MA</t>
  </si>
  <si>
    <t>rd (Hons), ABC</t>
  </si>
  <si>
    <t>Dr. Grace Wang, FRSC</t>
  </si>
  <si>
    <t>MD</t>
  </si>
  <si>
    <t>, FRSC</t>
  </si>
  <si>
    <t>Lori Brady, MHSc</t>
  </si>
  <si>
    <t>PT, BA, MSc</t>
  </si>
  <si>
    <t>Sc</t>
  </si>
  <si>
    <t>Shelley Darling, BHSci</t>
  </si>
  <si>
    <t>MHA</t>
  </si>
  <si>
    <t>g, BHSci</t>
  </si>
  <si>
    <t>Kullervo Hynynen, Ph.D.</t>
  </si>
  <si>
    <t>en, Ph.D.</t>
  </si>
  <si>
    <t>Dr. Calvin Law, MPH</t>
  </si>
  <si>
    <t>MD, FRCSC</t>
  </si>
  <si>
    <t>, MPH</t>
  </si>
  <si>
    <t>Kunal Patel, BCom</t>
  </si>
  <si>
    <t>MBA</t>
  </si>
  <si>
    <t>Com</t>
  </si>
  <si>
    <t>Nicole Vaz, L</t>
  </si>
  <si>
    <t>Showing 1 to 14 of 14 entries, 8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</si>
</sst>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rgb="FF000000"/>
      <name val="Segoe UI"/>
      <family val="2"/>
    </font>
    <font>
      <sz val="12"/>
      <color theme="1"/>
      <name val="Aptos Narrow"/>
      <family val="2"/>
      <scheme val="minor"/>
    </font>
    <font>
      <sz val="12"/>
      <color rgb="FF000000"/>
      <name val="Segoe UI"/>
      <family val="2"/>
    </font>
    <font>
      <i/>
      <sz val="12"/>
      <color rgb="FFB0B0B0"/>
      <name val="Segoe UI"/>
      <family val="2"/>
    </font>
    <font>
      <b/>
      <sz val="12"/>
      <color rgb="FF000000"/>
      <name val="Segoe UI"/>
      <family val="2"/>
    </font>
    <font>
      <b/>
      <sz val="10"/>
      <color rgb="FF000000"/>
      <name val="Segoe UI"/>
      <family val="2"/>
    </font>
    <font>
      <sz val="12"/>
      <name val="Segoe UI"/>
      <family val="2"/>
    </font>
    <font>
      <sz val="11"/>
      <name val="Aptos Narrow"/>
      <family val="2"/>
      <scheme val="minor"/>
    </font>
    <font>
      <i/>
      <sz val="12"/>
      <name val="Segoe UI"/>
      <family val="2"/>
    </font>
    <font>
      <sz val="10"/>
      <name val="Aptos Narrow"/>
      <family val="2"/>
      <scheme val="minor"/>
    </font>
    <font>
      <sz val="10"/>
      <name val="Segoe UI"/>
      <family val="2"/>
    </font>
    <font>
      <sz val="6"/>
      <color rgb="FF333333"/>
      <name val="Segoe UI"/>
      <family val="2"/>
    </font>
    <font>
      <sz val="12"/>
      <color theme="1"/>
      <name val="Segoe UI"/>
      <family val="2"/>
    </font>
    <font>
      <sz val="12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vertical="center"/>
    </xf>
    <xf numFmtId="0" fontId="3" fillId="2" borderId="0" xfId="0" applyFont="1" applyFill="1"/>
    <xf numFmtId="0" fontId="6" fillId="3" borderId="1" xfId="0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9" fillId="0" borderId="0" xfId="0" applyFont="1"/>
    <xf numFmtId="0" fontId="10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/>
    </xf>
    <xf numFmtId="0" fontId="12" fillId="0" borderId="0" xfId="0" applyFont="1"/>
    <xf numFmtId="0" fontId="1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9" fontId="14" fillId="0" borderId="1" xfId="1" applyFont="1" applyBorder="1" applyAlignment="1">
      <alignment horizontal="right" vertical="center"/>
    </xf>
    <xf numFmtId="9" fontId="5" fillId="0" borderId="1" xfId="1" applyFont="1" applyBorder="1" applyAlignment="1">
      <alignment horizontal="right" vertical="center"/>
    </xf>
    <xf numFmtId="9" fontId="0" fillId="0" borderId="0" xfId="1" applyFont="1"/>
    <xf numFmtId="0" fontId="15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3EF9-868F-4F4E-B6B6-3AD63295D75D}">
  <dimension ref="A1:M58"/>
  <sheetViews>
    <sheetView topLeftCell="C5" workbookViewId="0">
      <selection activeCell="K30" sqref="K30"/>
    </sheetView>
  </sheetViews>
  <sheetFormatPr defaultRowHeight="14.5" x14ac:dyDescent="0.35"/>
  <cols>
    <col min="1" max="1" width="8.81640625" bestFit="1" customWidth="1"/>
    <col min="2" max="2" width="42.08984375" customWidth="1"/>
    <col min="3" max="3" width="8.81640625" bestFit="1" customWidth="1"/>
    <col min="8" max="8" width="12.08984375" bestFit="1" customWidth="1"/>
  </cols>
  <sheetData>
    <row r="1" spans="1:13" ht="18" thickBot="1" x14ac:dyDescent="0.45">
      <c r="A1" s="2"/>
      <c r="B1" s="3" t="s">
        <v>0</v>
      </c>
      <c r="C1" s="4">
        <v>973</v>
      </c>
      <c r="D1" s="3" t="s">
        <v>1</v>
      </c>
      <c r="E1" s="5" t="s">
        <v>2</v>
      </c>
      <c r="F1" s="5" t="s">
        <v>2</v>
      </c>
      <c r="G1" s="5" t="s">
        <v>2</v>
      </c>
      <c r="H1" s="6">
        <v>45981</v>
      </c>
      <c r="I1" s="3" t="s">
        <v>3</v>
      </c>
      <c r="J1" s="3" t="s">
        <v>4</v>
      </c>
      <c r="K1" s="3" t="s">
        <v>5</v>
      </c>
      <c r="L1" s="7"/>
      <c r="M1">
        <f>IF(K2="h2_name_p_title",1,0)</f>
        <v>0</v>
      </c>
    </row>
    <row r="2" spans="1:13" ht="18" thickBot="1" x14ac:dyDescent="0.4">
      <c r="A2" s="8">
        <v>43</v>
      </c>
      <c r="B2" s="3" t="s">
        <v>6</v>
      </c>
      <c r="C2" s="4">
        <v>971</v>
      </c>
      <c r="D2" s="3" t="s">
        <v>1</v>
      </c>
      <c r="E2" s="5" t="s">
        <v>2</v>
      </c>
      <c r="F2" s="5" t="s">
        <v>2</v>
      </c>
      <c r="G2" s="5" t="s">
        <v>2</v>
      </c>
      <c r="H2" s="6">
        <v>45981</v>
      </c>
      <c r="I2" s="3" t="s">
        <v>3</v>
      </c>
      <c r="J2" s="3" t="s">
        <v>7</v>
      </c>
      <c r="K2" s="3" t="s">
        <v>8</v>
      </c>
      <c r="L2" s="5" t="s">
        <v>2</v>
      </c>
      <c r="M2">
        <f t="shared" ref="M2:M3" si="0">IF(K3="h2_name_p_title",1,0)</f>
        <v>0</v>
      </c>
    </row>
    <row r="3" spans="1:13" ht="18" thickBot="1" x14ac:dyDescent="0.4">
      <c r="A3" s="8">
        <v>606</v>
      </c>
      <c r="B3" s="3" t="s">
        <v>71</v>
      </c>
      <c r="C3" s="4">
        <v>941</v>
      </c>
      <c r="D3" s="3" t="s">
        <v>58</v>
      </c>
      <c r="E3" s="5" t="s">
        <v>2</v>
      </c>
      <c r="F3" s="5" t="s">
        <v>2</v>
      </c>
      <c r="G3" s="5" t="s">
        <v>2</v>
      </c>
      <c r="H3" s="6">
        <v>45981</v>
      </c>
      <c r="I3" s="3" t="s">
        <v>3</v>
      </c>
      <c r="J3" s="3" t="s">
        <v>72</v>
      </c>
      <c r="K3" s="3" t="s">
        <v>8</v>
      </c>
      <c r="L3" s="5" t="s">
        <v>2</v>
      </c>
      <c r="M3">
        <f t="shared" si="0"/>
        <v>0</v>
      </c>
    </row>
    <row r="4" spans="1:13" ht="18" thickBot="1" x14ac:dyDescent="0.4">
      <c r="A4" s="8">
        <v>474</v>
      </c>
      <c r="B4" s="3" t="s">
        <v>64</v>
      </c>
      <c r="C4" s="4">
        <v>736</v>
      </c>
      <c r="D4" s="3" t="s">
        <v>58</v>
      </c>
      <c r="E4" s="5" t="s">
        <v>2</v>
      </c>
      <c r="F4" s="5" t="s">
        <v>2</v>
      </c>
      <c r="G4" s="5" t="s">
        <v>2</v>
      </c>
      <c r="H4" s="6">
        <v>45981</v>
      </c>
      <c r="I4" s="3" t="s">
        <v>3</v>
      </c>
      <c r="J4" s="3" t="s">
        <v>65</v>
      </c>
      <c r="K4" s="3" t="s">
        <v>66</v>
      </c>
      <c r="L4" s="5" t="s">
        <v>2</v>
      </c>
    </row>
    <row r="5" spans="1:13" ht="18" thickBot="1" x14ac:dyDescent="0.4">
      <c r="A5" s="8">
        <v>60</v>
      </c>
      <c r="B5" s="3" t="s">
        <v>9</v>
      </c>
      <c r="C5" s="4">
        <v>961</v>
      </c>
      <c r="D5" s="3" t="s">
        <v>10</v>
      </c>
      <c r="E5" s="5" t="s">
        <v>2</v>
      </c>
      <c r="F5" s="5" t="s">
        <v>2</v>
      </c>
      <c r="G5" s="5" t="s">
        <v>2</v>
      </c>
      <c r="H5" s="6">
        <v>45981</v>
      </c>
      <c r="I5" s="3" t="s">
        <v>3</v>
      </c>
      <c r="J5" s="3" t="s">
        <v>11</v>
      </c>
      <c r="K5" s="3" t="s">
        <v>5</v>
      </c>
      <c r="L5" s="5" t="s">
        <v>2</v>
      </c>
    </row>
    <row r="6" spans="1:13" ht="18" thickBot="1" x14ac:dyDescent="0.4">
      <c r="A6" s="8">
        <v>61</v>
      </c>
      <c r="B6" s="3" t="s">
        <v>12</v>
      </c>
      <c r="C6" s="4">
        <v>959</v>
      </c>
      <c r="D6" s="3" t="s">
        <v>10</v>
      </c>
      <c r="E6" s="5" t="s">
        <v>2</v>
      </c>
      <c r="F6" s="5" t="s">
        <v>2</v>
      </c>
      <c r="G6" s="5" t="s">
        <v>2</v>
      </c>
      <c r="H6" s="6">
        <v>45981</v>
      </c>
      <c r="I6" s="3" t="s">
        <v>3</v>
      </c>
      <c r="J6" s="3" t="s">
        <v>13</v>
      </c>
      <c r="K6" s="3" t="s">
        <v>5</v>
      </c>
      <c r="L6" s="5" t="s">
        <v>2</v>
      </c>
    </row>
    <row r="7" spans="1:13" ht="18" thickBot="1" x14ac:dyDescent="0.4">
      <c r="A7" s="8">
        <v>62</v>
      </c>
      <c r="B7" s="3" t="s">
        <v>14</v>
      </c>
      <c r="C7" s="4">
        <v>958</v>
      </c>
      <c r="D7" s="3" t="s">
        <v>10</v>
      </c>
      <c r="E7" s="5" t="s">
        <v>2</v>
      </c>
      <c r="F7" s="5" t="s">
        <v>2</v>
      </c>
      <c r="G7" s="5" t="s">
        <v>2</v>
      </c>
      <c r="H7" s="6">
        <v>45981</v>
      </c>
      <c r="I7" s="3" t="s">
        <v>3</v>
      </c>
      <c r="J7" s="3" t="s">
        <v>15</v>
      </c>
      <c r="K7" s="3" t="s">
        <v>5</v>
      </c>
      <c r="L7" s="5" t="s">
        <v>2</v>
      </c>
    </row>
    <row r="8" spans="1:13" ht="18" thickBot="1" x14ac:dyDescent="0.4">
      <c r="A8" s="8">
        <v>63</v>
      </c>
      <c r="B8" s="3" t="s">
        <v>16</v>
      </c>
      <c r="C8" s="4">
        <v>948</v>
      </c>
      <c r="D8" s="3" t="s">
        <v>17</v>
      </c>
      <c r="E8" s="5" t="s">
        <v>2</v>
      </c>
      <c r="F8" s="5" t="s">
        <v>2</v>
      </c>
      <c r="G8" s="5" t="s">
        <v>2</v>
      </c>
      <c r="H8" s="6">
        <v>45981</v>
      </c>
      <c r="I8" s="3" t="s">
        <v>3</v>
      </c>
      <c r="J8" s="3" t="s">
        <v>18</v>
      </c>
      <c r="K8" s="3" t="s">
        <v>5</v>
      </c>
      <c r="L8" s="5" t="s">
        <v>2</v>
      </c>
    </row>
    <row r="9" spans="1:13" ht="18" thickBot="1" x14ac:dyDescent="0.4">
      <c r="A9" s="8">
        <v>129</v>
      </c>
      <c r="B9" s="3" t="s">
        <v>19</v>
      </c>
      <c r="C9" s="4">
        <v>896</v>
      </c>
      <c r="D9" s="3" t="s">
        <v>1</v>
      </c>
      <c r="E9" s="5" t="s">
        <v>2</v>
      </c>
      <c r="F9" s="5" t="s">
        <v>2</v>
      </c>
      <c r="G9" s="5" t="s">
        <v>2</v>
      </c>
      <c r="H9" s="6">
        <v>45981</v>
      </c>
      <c r="I9" s="3" t="s">
        <v>3</v>
      </c>
      <c r="J9" s="3" t="s">
        <v>20</v>
      </c>
      <c r="K9" s="3" t="s">
        <v>5</v>
      </c>
      <c r="L9" s="5" t="s">
        <v>2</v>
      </c>
    </row>
    <row r="10" spans="1:13" ht="18" thickBot="1" x14ac:dyDescent="0.4">
      <c r="A10" s="8">
        <v>139</v>
      </c>
      <c r="B10" s="3" t="s">
        <v>21</v>
      </c>
      <c r="C10" s="4">
        <v>888</v>
      </c>
      <c r="D10" s="3" t="s">
        <v>1</v>
      </c>
      <c r="E10" s="5" t="s">
        <v>2</v>
      </c>
      <c r="F10" s="5" t="s">
        <v>2</v>
      </c>
      <c r="G10" s="5" t="s">
        <v>2</v>
      </c>
      <c r="H10" s="6">
        <v>45981</v>
      </c>
      <c r="I10" s="3" t="s">
        <v>3</v>
      </c>
      <c r="J10" s="3" t="s">
        <v>22</v>
      </c>
      <c r="K10" s="3" t="s">
        <v>5</v>
      </c>
      <c r="L10" s="5" t="s">
        <v>2</v>
      </c>
    </row>
    <row r="11" spans="1:13" ht="18" thickBot="1" x14ac:dyDescent="0.4">
      <c r="A11" s="8">
        <v>197</v>
      </c>
      <c r="B11" s="3" t="s">
        <v>26</v>
      </c>
      <c r="C11" s="4">
        <v>800</v>
      </c>
      <c r="D11" s="3" t="s">
        <v>1</v>
      </c>
      <c r="E11" s="5" t="s">
        <v>2</v>
      </c>
      <c r="F11" s="5" t="s">
        <v>2</v>
      </c>
      <c r="G11" s="5" t="s">
        <v>2</v>
      </c>
      <c r="H11" s="6">
        <v>45981</v>
      </c>
      <c r="I11" s="3" t="s">
        <v>3</v>
      </c>
      <c r="J11" s="3" t="s">
        <v>27</v>
      </c>
      <c r="K11" s="3" t="s">
        <v>5</v>
      </c>
      <c r="L11" s="5" t="s">
        <v>2</v>
      </c>
    </row>
    <row r="12" spans="1:13" ht="18" thickBot="1" x14ac:dyDescent="0.4">
      <c r="A12" s="8">
        <v>198</v>
      </c>
      <c r="B12" s="3" t="s">
        <v>28</v>
      </c>
      <c r="C12" s="4">
        <v>788</v>
      </c>
      <c r="D12" s="3" t="s">
        <v>1</v>
      </c>
      <c r="E12" s="5" t="s">
        <v>2</v>
      </c>
      <c r="F12" s="5" t="s">
        <v>2</v>
      </c>
      <c r="G12" s="5" t="s">
        <v>2</v>
      </c>
      <c r="H12" s="6">
        <v>45981</v>
      </c>
      <c r="I12" s="3" t="s">
        <v>3</v>
      </c>
      <c r="J12" s="3" t="s">
        <v>29</v>
      </c>
      <c r="K12" s="3" t="s">
        <v>5</v>
      </c>
      <c r="L12" s="5" t="s">
        <v>2</v>
      </c>
    </row>
    <row r="13" spans="1:13" ht="18" thickBot="1" x14ac:dyDescent="0.4">
      <c r="A13" s="8">
        <v>216</v>
      </c>
      <c r="B13" s="3" t="s">
        <v>30</v>
      </c>
      <c r="C13" s="4">
        <v>751</v>
      </c>
      <c r="D13" s="3" t="s">
        <v>31</v>
      </c>
      <c r="E13" s="5" t="s">
        <v>2</v>
      </c>
      <c r="F13" s="5" t="s">
        <v>2</v>
      </c>
      <c r="G13" s="5" t="s">
        <v>2</v>
      </c>
      <c r="H13" s="6">
        <v>45981</v>
      </c>
      <c r="I13" s="3" t="s">
        <v>3</v>
      </c>
      <c r="J13" s="3" t="s">
        <v>32</v>
      </c>
      <c r="K13" s="3" t="s">
        <v>5</v>
      </c>
      <c r="L13" s="5" t="s">
        <v>2</v>
      </c>
    </row>
    <row r="14" spans="1:13" ht="18" thickBot="1" x14ac:dyDescent="0.4">
      <c r="A14" s="8">
        <v>226</v>
      </c>
      <c r="B14" s="3" t="s">
        <v>33</v>
      </c>
      <c r="C14" s="4">
        <v>732</v>
      </c>
      <c r="D14" s="3" t="s">
        <v>1</v>
      </c>
      <c r="E14" s="5" t="s">
        <v>2</v>
      </c>
      <c r="F14" s="5" t="s">
        <v>2</v>
      </c>
      <c r="G14" s="5" t="s">
        <v>2</v>
      </c>
      <c r="H14" s="6">
        <v>45981</v>
      </c>
      <c r="I14" s="3" t="s">
        <v>3</v>
      </c>
      <c r="J14" s="3" t="s">
        <v>34</v>
      </c>
      <c r="K14" s="3" t="s">
        <v>5</v>
      </c>
      <c r="L14" s="5" t="s">
        <v>2</v>
      </c>
    </row>
    <row r="15" spans="1:13" ht="18" thickBot="1" x14ac:dyDescent="0.4">
      <c r="A15" s="8">
        <v>250</v>
      </c>
      <c r="B15" s="3" t="s">
        <v>38</v>
      </c>
      <c r="C15" s="4">
        <v>686</v>
      </c>
      <c r="D15" s="3" t="s">
        <v>1</v>
      </c>
      <c r="E15" s="5" t="s">
        <v>2</v>
      </c>
      <c r="F15" s="5" t="s">
        <v>2</v>
      </c>
      <c r="G15" s="5" t="s">
        <v>2</v>
      </c>
      <c r="H15" s="6">
        <v>45981</v>
      </c>
      <c r="I15" s="3" t="s">
        <v>3</v>
      </c>
      <c r="J15" s="3" t="s">
        <v>39</v>
      </c>
      <c r="K15" s="3" t="s">
        <v>5</v>
      </c>
      <c r="L15" s="5" t="s">
        <v>2</v>
      </c>
    </row>
    <row r="16" spans="1:13" ht="18" thickBot="1" x14ac:dyDescent="0.4">
      <c r="A16" s="8">
        <v>262</v>
      </c>
      <c r="B16" s="3" t="s">
        <v>41</v>
      </c>
      <c r="C16" s="4">
        <v>681</v>
      </c>
      <c r="D16" s="3" t="s">
        <v>1</v>
      </c>
      <c r="E16" s="5" t="s">
        <v>2</v>
      </c>
      <c r="F16" s="5" t="s">
        <v>2</v>
      </c>
      <c r="G16" s="5" t="s">
        <v>2</v>
      </c>
      <c r="H16" s="6">
        <v>45981</v>
      </c>
      <c r="I16" s="3" t="s">
        <v>3</v>
      </c>
      <c r="J16" s="3" t="s">
        <v>42</v>
      </c>
      <c r="K16" s="3" t="s">
        <v>5</v>
      </c>
      <c r="L16" s="5" t="s">
        <v>2</v>
      </c>
    </row>
    <row r="17" spans="1:12" ht="18" thickBot="1" x14ac:dyDescent="0.4">
      <c r="A17" s="8">
        <v>263</v>
      </c>
      <c r="B17" s="3" t="s">
        <v>43</v>
      </c>
      <c r="C17" s="4">
        <v>676</v>
      </c>
      <c r="D17" s="3" t="s">
        <v>1</v>
      </c>
      <c r="E17" s="5" t="s">
        <v>2</v>
      </c>
      <c r="F17" s="5" t="s">
        <v>2</v>
      </c>
      <c r="G17" s="5" t="s">
        <v>2</v>
      </c>
      <c r="H17" s="6">
        <v>45981</v>
      </c>
      <c r="I17" s="3" t="s">
        <v>3</v>
      </c>
      <c r="J17" s="3" t="s">
        <v>44</v>
      </c>
      <c r="K17" s="3" t="s">
        <v>5</v>
      </c>
      <c r="L17" s="5" t="s">
        <v>2</v>
      </c>
    </row>
    <row r="18" spans="1:12" ht="18" thickBot="1" x14ac:dyDescent="0.4">
      <c r="A18" s="8">
        <v>264</v>
      </c>
      <c r="B18" s="3" t="s">
        <v>45</v>
      </c>
      <c r="C18" s="4">
        <v>674</v>
      </c>
      <c r="D18" s="3" t="s">
        <v>10</v>
      </c>
      <c r="E18" s="5" t="s">
        <v>2</v>
      </c>
      <c r="F18" s="5" t="s">
        <v>2</v>
      </c>
      <c r="G18" s="5" t="s">
        <v>2</v>
      </c>
      <c r="H18" s="6">
        <v>45981</v>
      </c>
      <c r="I18" s="3" t="s">
        <v>3</v>
      </c>
      <c r="J18" s="3" t="s">
        <v>46</v>
      </c>
      <c r="K18" s="3" t="s">
        <v>5</v>
      </c>
      <c r="L18" s="5" t="s">
        <v>2</v>
      </c>
    </row>
    <row r="19" spans="1:12" ht="18" thickBot="1" x14ac:dyDescent="0.4">
      <c r="A19" s="8">
        <v>271</v>
      </c>
      <c r="B19" s="3" t="s">
        <v>47</v>
      </c>
      <c r="C19" s="4">
        <v>663</v>
      </c>
      <c r="D19" s="3" t="s">
        <v>1</v>
      </c>
      <c r="E19" s="5" t="s">
        <v>2</v>
      </c>
      <c r="F19" s="5" t="s">
        <v>2</v>
      </c>
      <c r="G19" s="5" t="s">
        <v>2</v>
      </c>
      <c r="H19" s="6">
        <v>45981</v>
      </c>
      <c r="I19" s="3" t="s">
        <v>3</v>
      </c>
      <c r="J19" s="3" t="s">
        <v>48</v>
      </c>
      <c r="K19" s="3" t="s">
        <v>5</v>
      </c>
      <c r="L19" s="5" t="s">
        <v>2</v>
      </c>
    </row>
    <row r="20" spans="1:12" ht="18" thickBot="1" x14ac:dyDescent="0.4">
      <c r="A20" s="8">
        <v>281</v>
      </c>
      <c r="B20" s="3" t="s">
        <v>49</v>
      </c>
      <c r="C20" s="4">
        <v>655</v>
      </c>
      <c r="D20" s="3" t="s">
        <v>1</v>
      </c>
      <c r="E20" s="5" t="s">
        <v>2</v>
      </c>
      <c r="F20" s="5" t="s">
        <v>2</v>
      </c>
      <c r="G20" s="5" t="s">
        <v>2</v>
      </c>
      <c r="H20" s="6">
        <v>45981</v>
      </c>
      <c r="I20" s="3" t="s">
        <v>3</v>
      </c>
      <c r="J20" s="3" t="s">
        <v>48</v>
      </c>
      <c r="K20" s="3" t="s">
        <v>5</v>
      </c>
      <c r="L20" s="5" t="s">
        <v>2</v>
      </c>
    </row>
    <row r="21" spans="1:12" ht="18" thickBot="1" x14ac:dyDescent="0.4">
      <c r="A21" s="8">
        <v>309</v>
      </c>
      <c r="B21" s="3" t="s">
        <v>50</v>
      </c>
      <c r="C21" s="4">
        <v>648</v>
      </c>
      <c r="D21" s="3" t="s">
        <v>1</v>
      </c>
      <c r="E21" s="5" t="s">
        <v>2</v>
      </c>
      <c r="F21" s="5" t="s">
        <v>2</v>
      </c>
      <c r="G21" s="5" t="s">
        <v>2</v>
      </c>
      <c r="H21" s="6">
        <v>45981</v>
      </c>
      <c r="I21" s="3" t="s">
        <v>3</v>
      </c>
      <c r="J21" s="3" t="s">
        <v>51</v>
      </c>
      <c r="K21" s="3" t="s">
        <v>5</v>
      </c>
      <c r="L21" s="5" t="s">
        <v>2</v>
      </c>
    </row>
    <row r="22" spans="1:12" ht="18" thickBot="1" x14ac:dyDescent="0.4">
      <c r="A22" s="8">
        <v>314</v>
      </c>
      <c r="B22" s="3" t="s">
        <v>52</v>
      </c>
      <c r="C22" s="4">
        <v>646</v>
      </c>
      <c r="D22" s="3" t="s">
        <v>1</v>
      </c>
      <c r="E22" s="5" t="s">
        <v>2</v>
      </c>
      <c r="F22" s="5" t="s">
        <v>2</v>
      </c>
      <c r="G22" s="5" t="s">
        <v>2</v>
      </c>
      <c r="H22" s="6">
        <v>45981</v>
      </c>
      <c r="I22" s="3" t="s">
        <v>3</v>
      </c>
      <c r="J22" s="3" t="s">
        <v>53</v>
      </c>
      <c r="K22" s="3" t="s">
        <v>5</v>
      </c>
      <c r="L22" s="5" t="s">
        <v>2</v>
      </c>
    </row>
    <row r="23" spans="1:12" ht="18" thickBot="1" x14ac:dyDescent="0.4">
      <c r="A23" s="8">
        <v>331</v>
      </c>
      <c r="B23" s="3" t="s">
        <v>55</v>
      </c>
      <c r="C23" s="4">
        <v>611</v>
      </c>
      <c r="D23" s="3" t="s">
        <v>1</v>
      </c>
      <c r="E23" s="5" t="s">
        <v>2</v>
      </c>
      <c r="F23" s="5" t="s">
        <v>2</v>
      </c>
      <c r="G23" s="5" t="s">
        <v>2</v>
      </c>
      <c r="H23" s="6">
        <v>45981</v>
      </c>
      <c r="I23" s="3" t="s">
        <v>3</v>
      </c>
      <c r="J23" s="3" t="s">
        <v>56</v>
      </c>
      <c r="K23" s="3" t="s">
        <v>5</v>
      </c>
      <c r="L23" s="5" t="s">
        <v>2</v>
      </c>
    </row>
    <row r="24" spans="1:12" ht="18" thickBot="1" x14ac:dyDescent="0.4">
      <c r="A24" s="8">
        <v>394</v>
      </c>
      <c r="B24" s="3" t="s">
        <v>57</v>
      </c>
      <c r="C24" s="4">
        <v>965</v>
      </c>
      <c r="D24" s="3" t="s">
        <v>58</v>
      </c>
      <c r="E24" s="5" t="s">
        <v>2</v>
      </c>
      <c r="F24" s="5" t="s">
        <v>2</v>
      </c>
      <c r="G24" s="5" t="s">
        <v>2</v>
      </c>
      <c r="H24" s="6">
        <v>45981</v>
      </c>
      <c r="I24" s="3" t="s">
        <v>3</v>
      </c>
      <c r="J24" s="3" t="s">
        <v>59</v>
      </c>
      <c r="K24" s="3" t="s">
        <v>5</v>
      </c>
      <c r="L24" s="5" t="s">
        <v>2</v>
      </c>
    </row>
    <row r="25" spans="1:12" ht="18" thickBot="1" x14ac:dyDescent="0.4">
      <c r="A25" s="8">
        <v>395</v>
      </c>
      <c r="B25" s="3" t="s">
        <v>60</v>
      </c>
      <c r="C25" s="4">
        <v>962</v>
      </c>
      <c r="D25" s="3" t="s">
        <v>58</v>
      </c>
      <c r="E25" s="5" t="s">
        <v>2</v>
      </c>
      <c r="F25" s="5" t="s">
        <v>2</v>
      </c>
      <c r="G25" s="5" t="s">
        <v>2</v>
      </c>
      <c r="H25" s="6">
        <v>45981</v>
      </c>
      <c r="I25" s="3" t="s">
        <v>3</v>
      </c>
      <c r="J25" s="3" t="s">
        <v>61</v>
      </c>
      <c r="K25" s="3" t="s">
        <v>5</v>
      </c>
      <c r="L25" s="5" t="s">
        <v>2</v>
      </c>
    </row>
    <row r="26" spans="1:12" ht="18" thickBot="1" x14ac:dyDescent="0.4">
      <c r="A26" s="8">
        <v>433</v>
      </c>
      <c r="B26" s="3" t="s">
        <v>62</v>
      </c>
      <c r="C26" s="4">
        <v>916</v>
      </c>
      <c r="D26" s="3" t="s">
        <v>58</v>
      </c>
      <c r="E26" s="5" t="s">
        <v>2</v>
      </c>
      <c r="F26" s="5" t="s">
        <v>2</v>
      </c>
      <c r="G26" s="5" t="s">
        <v>2</v>
      </c>
      <c r="H26" s="6">
        <v>45981</v>
      </c>
      <c r="I26" s="3" t="s">
        <v>3</v>
      </c>
      <c r="J26" s="3" t="s">
        <v>63</v>
      </c>
      <c r="K26" s="3" t="s">
        <v>5</v>
      </c>
      <c r="L26" s="5" t="s">
        <v>2</v>
      </c>
    </row>
    <row r="27" spans="1:12" ht="18" thickBot="1" x14ac:dyDescent="0.4">
      <c r="A27" s="8">
        <v>475</v>
      </c>
      <c r="B27" s="3" t="s">
        <v>67</v>
      </c>
      <c r="C27" s="4">
        <v>726</v>
      </c>
      <c r="D27" s="3" t="s">
        <v>58</v>
      </c>
      <c r="E27" s="5" t="s">
        <v>2</v>
      </c>
      <c r="F27" s="5" t="s">
        <v>2</v>
      </c>
      <c r="G27" s="5" t="s">
        <v>2</v>
      </c>
      <c r="H27" s="6">
        <v>45981</v>
      </c>
      <c r="I27" s="3" t="s">
        <v>3</v>
      </c>
      <c r="J27" s="3" t="s">
        <v>68</v>
      </c>
      <c r="K27" s="3" t="s">
        <v>5</v>
      </c>
      <c r="L27" s="5" t="s">
        <v>2</v>
      </c>
    </row>
    <row r="28" spans="1:12" ht="18" thickBot="1" x14ac:dyDescent="0.4">
      <c r="A28" s="8">
        <v>595</v>
      </c>
      <c r="B28" s="3" t="s">
        <v>69</v>
      </c>
      <c r="C28" s="4">
        <v>953</v>
      </c>
      <c r="D28" s="3" t="s">
        <v>10</v>
      </c>
      <c r="E28" s="5" t="s">
        <v>2</v>
      </c>
      <c r="F28" s="5" t="s">
        <v>2</v>
      </c>
      <c r="G28" s="5" t="s">
        <v>2</v>
      </c>
      <c r="H28" s="6">
        <v>45981</v>
      </c>
      <c r="I28" s="3" t="s">
        <v>3</v>
      </c>
      <c r="J28" s="3" t="s">
        <v>70</v>
      </c>
      <c r="K28" s="3" t="s">
        <v>5</v>
      </c>
      <c r="L28" s="5" t="s">
        <v>2</v>
      </c>
    </row>
    <row r="29" spans="1:12" ht="18" thickBot="1" x14ac:dyDescent="0.4">
      <c r="A29" s="8">
        <v>630</v>
      </c>
      <c r="B29" s="3" t="s">
        <v>73</v>
      </c>
      <c r="C29" s="4">
        <v>632</v>
      </c>
      <c r="D29" s="3" t="s">
        <v>58</v>
      </c>
      <c r="E29" s="5" t="s">
        <v>2</v>
      </c>
      <c r="F29" s="5" t="s">
        <v>2</v>
      </c>
      <c r="G29" s="5" t="s">
        <v>2</v>
      </c>
      <c r="H29" s="6">
        <v>45981</v>
      </c>
      <c r="I29" s="3" t="s">
        <v>3</v>
      </c>
      <c r="J29" s="3" t="s">
        <v>74</v>
      </c>
      <c r="K29" s="3" t="s">
        <v>5</v>
      </c>
      <c r="L29" s="5" t="s">
        <v>2</v>
      </c>
    </row>
    <row r="30" spans="1:12" ht="18" thickBot="1" x14ac:dyDescent="0.4">
      <c r="A30" s="8">
        <v>779</v>
      </c>
      <c r="B30" s="3" t="s">
        <v>75</v>
      </c>
      <c r="C30" s="4">
        <v>932</v>
      </c>
      <c r="D30" s="3" t="s">
        <v>76</v>
      </c>
      <c r="E30" s="5" t="s">
        <v>2</v>
      </c>
      <c r="F30" s="5" t="s">
        <v>2</v>
      </c>
      <c r="G30" s="5" t="s">
        <v>2</v>
      </c>
      <c r="H30" s="6">
        <v>45981</v>
      </c>
      <c r="I30" s="3" t="s">
        <v>3</v>
      </c>
      <c r="J30" s="3" t="s">
        <v>77</v>
      </c>
      <c r="K30" s="3" t="s">
        <v>5</v>
      </c>
      <c r="L30" s="5" t="s">
        <v>2</v>
      </c>
    </row>
    <row r="31" spans="1:12" ht="18" thickBot="1" x14ac:dyDescent="0.4">
      <c r="A31" s="8">
        <v>171</v>
      </c>
      <c r="B31" s="3" t="s">
        <v>23</v>
      </c>
      <c r="C31" s="4">
        <v>854</v>
      </c>
      <c r="D31" s="3" t="s">
        <v>1</v>
      </c>
      <c r="E31" s="5" t="s">
        <v>2</v>
      </c>
      <c r="F31" s="5" t="s">
        <v>2</v>
      </c>
      <c r="G31" s="5" t="s">
        <v>2</v>
      </c>
      <c r="H31" s="6">
        <v>45981</v>
      </c>
      <c r="I31" s="3" t="s">
        <v>3</v>
      </c>
      <c r="J31" s="3" t="s">
        <v>24</v>
      </c>
      <c r="K31" s="3" t="s">
        <v>25</v>
      </c>
      <c r="L31" s="5" t="s">
        <v>2</v>
      </c>
    </row>
    <row r="32" spans="1:12" ht="18" thickBot="1" x14ac:dyDescent="0.4">
      <c r="A32" s="8">
        <v>231</v>
      </c>
      <c r="B32" s="3" t="s">
        <v>35</v>
      </c>
      <c r="C32" s="4">
        <v>723</v>
      </c>
      <c r="D32" s="3" t="s">
        <v>1</v>
      </c>
      <c r="E32" s="5" t="s">
        <v>2</v>
      </c>
      <c r="F32" s="5" t="s">
        <v>2</v>
      </c>
      <c r="G32" s="5" t="s">
        <v>2</v>
      </c>
      <c r="H32" s="6">
        <v>45981</v>
      </c>
      <c r="I32" s="3" t="s">
        <v>3</v>
      </c>
      <c r="J32" s="3" t="s">
        <v>36</v>
      </c>
      <c r="K32" s="3" t="s">
        <v>37</v>
      </c>
      <c r="L32" s="5" t="s">
        <v>2</v>
      </c>
    </row>
    <row r="33" spans="1:12" ht="18" thickBot="1" x14ac:dyDescent="0.4">
      <c r="A33" s="8">
        <v>251</v>
      </c>
      <c r="B33" s="3" t="s">
        <v>40</v>
      </c>
      <c r="C33" s="4">
        <v>685</v>
      </c>
      <c r="D33" s="3" t="s">
        <v>1</v>
      </c>
      <c r="E33" s="5" t="s">
        <v>2</v>
      </c>
      <c r="F33" s="5" t="s">
        <v>2</v>
      </c>
      <c r="G33" s="5" t="s">
        <v>2</v>
      </c>
      <c r="H33" s="6">
        <v>45981</v>
      </c>
      <c r="I33" s="3" t="s">
        <v>3</v>
      </c>
      <c r="J33" s="3" t="s">
        <v>36</v>
      </c>
      <c r="K33" s="3" t="s">
        <v>37</v>
      </c>
      <c r="L33" s="5" t="s">
        <v>2</v>
      </c>
    </row>
    <row r="34" spans="1:12" ht="18" thickBot="1" x14ac:dyDescent="0.4">
      <c r="A34" s="8">
        <v>320</v>
      </c>
      <c r="B34" s="3" t="s">
        <v>54</v>
      </c>
      <c r="C34" s="4">
        <v>638</v>
      </c>
      <c r="D34" s="3" t="s">
        <v>1</v>
      </c>
      <c r="E34" s="5" t="s">
        <v>2</v>
      </c>
      <c r="F34" s="5" t="s">
        <v>2</v>
      </c>
      <c r="G34" s="5" t="s">
        <v>2</v>
      </c>
      <c r="H34" s="6">
        <v>45981</v>
      </c>
      <c r="I34" s="3" t="s">
        <v>3</v>
      </c>
      <c r="J34" s="3" t="s">
        <v>36</v>
      </c>
      <c r="K34" s="3" t="s">
        <v>37</v>
      </c>
      <c r="L34" s="5" t="s">
        <v>2</v>
      </c>
    </row>
    <row r="37" spans="1:12" ht="17.5" x14ac:dyDescent="0.35">
      <c r="B37" s="9"/>
      <c r="C37" s="10" t="s">
        <v>78</v>
      </c>
      <c r="D37" s="9" t="s">
        <v>80</v>
      </c>
      <c r="E37" s="11" t="s">
        <v>81</v>
      </c>
      <c r="F37" s="11" t="s">
        <v>82</v>
      </c>
      <c r="G37" s="10"/>
    </row>
    <row r="38" spans="1:12" ht="16" x14ac:dyDescent="0.45">
      <c r="B38" s="10" t="s">
        <v>62</v>
      </c>
      <c r="C38" s="10">
        <v>916</v>
      </c>
      <c r="D38" s="10" t="s">
        <v>5</v>
      </c>
      <c r="E38" s="12" t="s">
        <v>83</v>
      </c>
      <c r="F38" s="13" t="s">
        <v>84</v>
      </c>
      <c r="G38" s="10"/>
    </row>
    <row r="39" spans="1:12" ht="16.5" thickBot="1" x14ac:dyDescent="0.4">
      <c r="B39" s="10" t="s">
        <v>85</v>
      </c>
      <c r="C39" s="10">
        <v>630</v>
      </c>
      <c r="D39" s="10" t="s">
        <v>5</v>
      </c>
      <c r="E39" s="14" t="s">
        <v>83</v>
      </c>
      <c r="F39" s="14" t="s">
        <v>79</v>
      </c>
      <c r="G39" s="10"/>
    </row>
    <row r="41" spans="1:12" x14ac:dyDescent="0.35">
      <c r="B41" t="s">
        <v>89</v>
      </c>
      <c r="C41" t="s">
        <v>87</v>
      </c>
    </row>
    <row r="42" spans="1:12" x14ac:dyDescent="0.35">
      <c r="B42" t="s">
        <v>78</v>
      </c>
      <c r="C42" t="s">
        <v>90</v>
      </c>
      <c r="D42" t="s">
        <v>91</v>
      </c>
    </row>
    <row r="43" spans="1:12" x14ac:dyDescent="0.35">
      <c r="B43">
        <v>676</v>
      </c>
      <c r="C43" t="s">
        <v>5</v>
      </c>
      <c r="D43" t="s">
        <v>92</v>
      </c>
    </row>
    <row r="44" spans="1:12" x14ac:dyDescent="0.35">
      <c r="B44">
        <v>674</v>
      </c>
      <c r="C44" t="s">
        <v>5</v>
      </c>
      <c r="D44" t="s">
        <v>92</v>
      </c>
    </row>
    <row r="45" spans="1:12" x14ac:dyDescent="0.35">
      <c r="B45">
        <v>389</v>
      </c>
      <c r="C45" t="s">
        <v>5</v>
      </c>
      <c r="D45" t="s">
        <v>92</v>
      </c>
    </row>
    <row r="46" spans="1:12" x14ac:dyDescent="0.35">
      <c r="B46">
        <v>932</v>
      </c>
      <c r="C46" t="s">
        <v>5</v>
      </c>
      <c r="D46" t="s">
        <v>92</v>
      </c>
    </row>
    <row r="53" spans="2:3" ht="18" thickBot="1" x14ac:dyDescent="0.4">
      <c r="B53" t="s">
        <v>93</v>
      </c>
      <c r="C53" s="4">
        <v>655</v>
      </c>
    </row>
    <row r="54" spans="2:3" ht="18" thickBot="1" x14ac:dyDescent="0.4">
      <c r="C54" s="4">
        <v>648</v>
      </c>
    </row>
    <row r="55" spans="2:3" ht="18" thickBot="1" x14ac:dyDescent="0.4">
      <c r="C55" s="4">
        <v>646</v>
      </c>
    </row>
    <row r="56" spans="2:3" ht="18" thickBot="1" x14ac:dyDescent="0.4">
      <c r="C56" s="4">
        <v>611</v>
      </c>
    </row>
    <row r="57" spans="2:3" ht="18" thickBot="1" x14ac:dyDescent="0.4">
      <c r="C57" s="4">
        <v>965</v>
      </c>
    </row>
    <row r="58" spans="2:3" ht="18" thickBot="1" x14ac:dyDescent="0.4">
      <c r="C58" s="4">
        <v>962</v>
      </c>
    </row>
  </sheetData>
  <sortState xmlns:xlrd2="http://schemas.microsoft.com/office/spreadsheetml/2017/richdata2" ref="A2:L34">
    <sortCondition ref="K2:K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B886-59BC-4DE1-B46E-8632E9D994BB}">
  <dimension ref="E5:L22"/>
  <sheetViews>
    <sheetView workbookViewId="0">
      <selection activeCell="F5" sqref="F5:L22"/>
    </sheetView>
  </sheetViews>
  <sheetFormatPr defaultRowHeight="14.5" x14ac:dyDescent="0.35"/>
  <cols>
    <col min="6" max="6" width="23.90625" customWidth="1"/>
    <col min="7" max="8" width="14.08984375" customWidth="1"/>
  </cols>
  <sheetData>
    <row r="5" spans="5:12" ht="32.5" thickBot="1" x14ac:dyDescent="0.4">
      <c r="E5" s="15"/>
      <c r="F5" s="23" t="s">
        <v>94</v>
      </c>
      <c r="G5" s="23" t="s">
        <v>95</v>
      </c>
      <c r="H5" s="23" t="s">
        <v>96</v>
      </c>
      <c r="I5" s="23" t="s">
        <v>97</v>
      </c>
      <c r="J5" s="23" t="s">
        <v>98</v>
      </c>
      <c r="K5" s="23" t="s">
        <v>88</v>
      </c>
      <c r="L5" s="23" t="s">
        <v>99</v>
      </c>
    </row>
    <row r="6" spans="5:12" ht="18" thickBot="1" x14ac:dyDescent="0.4">
      <c r="E6" s="1">
        <v>2</v>
      </c>
      <c r="F6" s="18" t="s">
        <v>100</v>
      </c>
      <c r="G6" s="19">
        <v>4</v>
      </c>
      <c r="H6" s="20" t="s">
        <v>2</v>
      </c>
      <c r="I6" s="20" t="s">
        <v>2</v>
      </c>
      <c r="J6" s="20" t="s">
        <v>2</v>
      </c>
      <c r="K6" s="21" t="s">
        <v>2</v>
      </c>
      <c r="L6" s="24">
        <v>1</v>
      </c>
    </row>
    <row r="7" spans="5:12" ht="18" thickBot="1" x14ac:dyDescent="0.4">
      <c r="E7" s="1">
        <v>6</v>
      </c>
      <c r="F7" s="18" t="s">
        <v>101</v>
      </c>
      <c r="G7" s="19">
        <v>1</v>
      </c>
      <c r="H7" s="20" t="s">
        <v>2</v>
      </c>
      <c r="I7" s="20" t="s">
        <v>2</v>
      </c>
      <c r="J7" s="20" t="s">
        <v>2</v>
      </c>
      <c r="K7" s="21" t="s">
        <v>2</v>
      </c>
      <c r="L7" s="24">
        <v>1</v>
      </c>
    </row>
    <row r="8" spans="5:12" ht="18" thickBot="1" x14ac:dyDescent="0.4">
      <c r="E8" s="1">
        <v>11</v>
      </c>
      <c r="F8" s="18" t="s">
        <v>102</v>
      </c>
      <c r="G8" s="19">
        <v>1</v>
      </c>
      <c r="H8" s="20" t="s">
        <v>2</v>
      </c>
      <c r="I8" s="20" t="s">
        <v>2</v>
      </c>
      <c r="J8" s="20" t="s">
        <v>2</v>
      </c>
      <c r="K8" s="21" t="s">
        <v>2</v>
      </c>
      <c r="L8" s="24">
        <v>1</v>
      </c>
    </row>
    <row r="9" spans="5:12" ht="18" thickBot="1" x14ac:dyDescent="0.4">
      <c r="E9" s="1">
        <v>12</v>
      </c>
      <c r="F9" s="18" t="s">
        <v>103</v>
      </c>
      <c r="G9" s="19">
        <v>6</v>
      </c>
      <c r="H9" s="20" t="s">
        <v>2</v>
      </c>
      <c r="I9" s="20" t="s">
        <v>2</v>
      </c>
      <c r="J9" s="20" t="s">
        <v>2</v>
      </c>
      <c r="K9" s="21" t="s">
        <v>2</v>
      </c>
      <c r="L9" s="24">
        <v>1</v>
      </c>
    </row>
    <row r="10" spans="5:12" ht="18" thickBot="1" x14ac:dyDescent="0.4">
      <c r="E10" s="1">
        <v>13</v>
      </c>
      <c r="F10" s="18" t="s">
        <v>104</v>
      </c>
      <c r="G10" s="19">
        <v>3</v>
      </c>
      <c r="H10" s="20" t="s">
        <v>2</v>
      </c>
      <c r="I10" s="20" t="s">
        <v>2</v>
      </c>
      <c r="J10" s="20" t="s">
        <v>2</v>
      </c>
      <c r="K10" s="21" t="s">
        <v>2</v>
      </c>
      <c r="L10" s="24">
        <v>1</v>
      </c>
    </row>
    <row r="11" spans="5:12" ht="18" thickBot="1" x14ac:dyDescent="0.4">
      <c r="E11" s="1">
        <v>14</v>
      </c>
      <c r="F11" s="18" t="s">
        <v>105</v>
      </c>
      <c r="G11" s="19">
        <v>1</v>
      </c>
      <c r="H11" s="20" t="s">
        <v>2</v>
      </c>
      <c r="I11" s="20" t="s">
        <v>2</v>
      </c>
      <c r="J11" s="20" t="s">
        <v>2</v>
      </c>
      <c r="K11" s="21" t="s">
        <v>2</v>
      </c>
      <c r="L11" s="24">
        <v>1</v>
      </c>
    </row>
    <row r="12" spans="5:12" ht="18" thickBot="1" x14ac:dyDescent="0.4">
      <c r="E12" s="1">
        <v>15</v>
      </c>
      <c r="F12" s="18" t="s">
        <v>106</v>
      </c>
      <c r="G12" s="19">
        <v>1</v>
      </c>
      <c r="H12" s="20" t="s">
        <v>2</v>
      </c>
      <c r="I12" s="20" t="s">
        <v>2</v>
      </c>
      <c r="J12" s="20" t="s">
        <v>2</v>
      </c>
      <c r="K12" s="21" t="s">
        <v>2</v>
      </c>
      <c r="L12" s="24">
        <v>1</v>
      </c>
    </row>
    <row r="13" spans="5:12" ht="18" thickBot="1" x14ac:dyDescent="0.4">
      <c r="E13" s="1">
        <v>16</v>
      </c>
      <c r="F13" s="18" t="s">
        <v>107</v>
      </c>
      <c r="G13" s="19">
        <v>1</v>
      </c>
      <c r="H13" s="20" t="s">
        <v>2</v>
      </c>
      <c r="I13" s="20" t="s">
        <v>2</v>
      </c>
      <c r="J13" s="20" t="s">
        <v>2</v>
      </c>
      <c r="K13" s="21" t="s">
        <v>2</v>
      </c>
      <c r="L13" s="24">
        <v>1</v>
      </c>
    </row>
    <row r="14" spans="5:12" ht="18" thickBot="1" x14ac:dyDescent="0.4">
      <c r="E14" s="1">
        <v>5</v>
      </c>
      <c r="F14" s="18" t="s">
        <v>25</v>
      </c>
      <c r="G14" s="19">
        <v>9</v>
      </c>
      <c r="H14" s="19">
        <v>1</v>
      </c>
      <c r="I14" s="20" t="s">
        <v>2</v>
      </c>
      <c r="J14" s="20" t="s">
        <v>2</v>
      </c>
      <c r="K14" s="21" t="s">
        <v>2</v>
      </c>
      <c r="L14" s="24">
        <v>0.88888889999999998</v>
      </c>
    </row>
    <row r="15" spans="5:12" ht="18" thickBot="1" x14ac:dyDescent="0.4">
      <c r="E15" s="1">
        <v>1</v>
      </c>
      <c r="F15" s="18" t="s">
        <v>66</v>
      </c>
      <c r="G15" s="19">
        <v>20</v>
      </c>
      <c r="H15" s="19">
        <v>1</v>
      </c>
      <c r="I15" s="19">
        <v>4</v>
      </c>
      <c r="J15" s="19">
        <v>2</v>
      </c>
      <c r="K15" s="21" t="s">
        <v>2</v>
      </c>
      <c r="L15" s="24">
        <v>0.65</v>
      </c>
    </row>
    <row r="16" spans="5:12" ht="18" thickBot="1" x14ac:dyDescent="0.4">
      <c r="E16" s="1">
        <v>3</v>
      </c>
      <c r="F16" s="18" t="s">
        <v>5</v>
      </c>
      <c r="G16" s="19">
        <v>20</v>
      </c>
      <c r="H16" s="19">
        <v>1</v>
      </c>
      <c r="I16" s="19">
        <v>4</v>
      </c>
      <c r="J16" s="19">
        <v>2</v>
      </c>
      <c r="K16" s="18">
        <v>1</v>
      </c>
      <c r="L16" s="24">
        <v>0.6</v>
      </c>
    </row>
    <row r="17" spans="5:12" ht="18" thickBot="1" x14ac:dyDescent="0.4">
      <c r="E17" s="1">
        <v>4</v>
      </c>
      <c r="F17" s="18" t="s">
        <v>8</v>
      </c>
      <c r="G17" s="19">
        <v>20</v>
      </c>
      <c r="H17" s="19">
        <v>2</v>
      </c>
      <c r="I17" s="19">
        <v>7</v>
      </c>
      <c r="J17" s="20" t="s">
        <v>2</v>
      </c>
      <c r="K17" s="21" t="s">
        <v>2</v>
      </c>
      <c r="L17" s="24">
        <v>0.55000000000000004</v>
      </c>
    </row>
    <row r="18" spans="5:12" ht="18" thickBot="1" x14ac:dyDescent="0.4">
      <c r="E18" s="1">
        <v>7</v>
      </c>
      <c r="F18" s="18" t="s">
        <v>108</v>
      </c>
      <c r="G18" s="19">
        <v>10</v>
      </c>
      <c r="H18" s="19">
        <v>1</v>
      </c>
      <c r="I18" s="19">
        <v>2</v>
      </c>
      <c r="J18" s="19">
        <v>2</v>
      </c>
      <c r="K18" s="21" t="s">
        <v>2</v>
      </c>
      <c r="L18" s="24">
        <v>0.5</v>
      </c>
    </row>
    <row r="19" spans="5:12" ht="18" thickBot="1" x14ac:dyDescent="0.4">
      <c r="E19" s="1">
        <v>9</v>
      </c>
      <c r="F19" s="18" t="s">
        <v>109</v>
      </c>
      <c r="G19" s="19">
        <v>1</v>
      </c>
      <c r="H19" s="20" t="s">
        <v>2</v>
      </c>
      <c r="I19" s="19">
        <v>1</v>
      </c>
      <c r="J19" s="20" t="s">
        <v>2</v>
      </c>
      <c r="K19" s="21" t="s">
        <v>2</v>
      </c>
      <c r="L19" s="24">
        <v>0</v>
      </c>
    </row>
    <row r="20" spans="5:12" ht="18" thickBot="1" x14ac:dyDescent="0.4">
      <c r="E20" s="1">
        <v>8</v>
      </c>
      <c r="F20" s="18" t="s">
        <v>110</v>
      </c>
      <c r="G20" s="19">
        <v>3</v>
      </c>
      <c r="H20" s="20" t="s">
        <v>2</v>
      </c>
      <c r="I20" s="19">
        <v>3</v>
      </c>
      <c r="J20" s="19">
        <v>1</v>
      </c>
      <c r="K20" s="21" t="s">
        <v>2</v>
      </c>
      <c r="L20" s="24">
        <v>-0.3333333</v>
      </c>
    </row>
    <row r="21" spans="5:12" ht="18" thickBot="1" x14ac:dyDescent="0.4">
      <c r="E21" s="1">
        <v>10</v>
      </c>
      <c r="F21" s="18" t="s">
        <v>37</v>
      </c>
      <c r="G21" s="20" t="s">
        <v>2</v>
      </c>
      <c r="H21" s="19">
        <v>3</v>
      </c>
      <c r="I21" s="20" t="s">
        <v>2</v>
      </c>
      <c r="J21" s="20" t="s">
        <v>2</v>
      </c>
      <c r="K21" s="21" t="s">
        <v>2</v>
      </c>
      <c r="L21" s="25" t="s">
        <v>2</v>
      </c>
    </row>
    <row r="22" spans="5:12" ht="24" x14ac:dyDescent="0.35">
      <c r="E22" s="16" t="s">
        <v>111</v>
      </c>
      <c r="G22">
        <f>SUM(G6:G21)</f>
        <v>101</v>
      </c>
      <c r="H22">
        <f t="shared" ref="H22:K22" si="0">SUM(H6:H21)</f>
        <v>9</v>
      </c>
      <c r="I22">
        <f t="shared" si="0"/>
        <v>21</v>
      </c>
      <c r="J22">
        <f t="shared" si="0"/>
        <v>7</v>
      </c>
      <c r="K22">
        <f t="shared" si="0"/>
        <v>1</v>
      </c>
      <c r="L22" s="26">
        <f>(G22-SUM(I22:K22))/G22</f>
        <v>0.71287128712871284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DBCF-A1AE-4BA1-BE67-B78A2C43A8A1}">
  <dimension ref="A1:J40"/>
  <sheetViews>
    <sheetView topLeftCell="A17" workbookViewId="0">
      <selection activeCell="D21" sqref="D21"/>
    </sheetView>
  </sheetViews>
  <sheetFormatPr defaultRowHeight="14.5" x14ac:dyDescent="0.35"/>
  <sheetData>
    <row r="1" spans="1:10" ht="18" thickBot="1" x14ac:dyDescent="0.4">
      <c r="A1" s="22"/>
      <c r="B1" s="17" t="s">
        <v>78</v>
      </c>
      <c r="C1" s="17" t="s">
        <v>86</v>
      </c>
      <c r="D1" s="17" t="s">
        <v>94</v>
      </c>
      <c r="E1" s="17" t="s">
        <v>112</v>
      </c>
      <c r="F1" s="17" t="s">
        <v>113</v>
      </c>
      <c r="G1" s="17" t="s">
        <v>114</v>
      </c>
      <c r="H1" s="17" t="s">
        <v>115</v>
      </c>
      <c r="I1" s="17" t="s">
        <v>116</v>
      </c>
      <c r="J1" s="28" t="s">
        <v>142</v>
      </c>
    </row>
    <row r="2" spans="1:10" ht="18" thickBot="1" x14ac:dyDescent="0.4">
      <c r="A2" s="8">
        <v>23</v>
      </c>
      <c r="B2" s="19">
        <v>611</v>
      </c>
      <c r="C2" s="18" t="s">
        <v>55</v>
      </c>
      <c r="D2" s="18" t="s">
        <v>5</v>
      </c>
      <c r="E2" s="19">
        <v>4</v>
      </c>
      <c r="F2" s="19">
        <v>0</v>
      </c>
      <c r="G2" s="18" t="s">
        <v>88</v>
      </c>
      <c r="H2" s="19">
        <v>0</v>
      </c>
      <c r="I2" s="18" t="s">
        <v>117</v>
      </c>
    </row>
    <row r="3" spans="1:10" ht="18" thickBot="1" x14ac:dyDescent="0.4">
      <c r="A3" s="8">
        <v>2</v>
      </c>
      <c r="B3" s="19">
        <v>963</v>
      </c>
      <c r="C3" s="18" t="s">
        <v>118</v>
      </c>
      <c r="D3" s="18" t="s">
        <v>8</v>
      </c>
      <c r="E3" s="19">
        <v>3</v>
      </c>
      <c r="F3" s="19">
        <v>13</v>
      </c>
      <c r="G3" s="18" t="s">
        <v>97</v>
      </c>
      <c r="H3" s="19">
        <v>100</v>
      </c>
      <c r="I3" s="18" t="s">
        <v>145</v>
      </c>
    </row>
    <row r="4" spans="1:10" ht="18" thickBot="1" x14ac:dyDescent="0.4">
      <c r="A4" s="8">
        <v>3</v>
      </c>
      <c r="B4" s="19">
        <v>948</v>
      </c>
      <c r="C4" s="18" t="s">
        <v>16</v>
      </c>
      <c r="D4" s="18" t="s">
        <v>5</v>
      </c>
      <c r="E4" s="19">
        <v>9</v>
      </c>
      <c r="F4" s="19">
        <v>10</v>
      </c>
      <c r="G4" s="18" t="s">
        <v>97</v>
      </c>
      <c r="H4" s="19">
        <v>100</v>
      </c>
      <c r="I4" s="18" t="s">
        <v>143</v>
      </c>
    </row>
    <row r="5" spans="1:10" ht="18" thickBot="1" x14ac:dyDescent="0.4">
      <c r="A5" s="8">
        <v>4</v>
      </c>
      <c r="B5" s="19">
        <v>881</v>
      </c>
      <c r="C5" s="18" t="s">
        <v>119</v>
      </c>
      <c r="D5" s="18" t="s">
        <v>110</v>
      </c>
      <c r="E5" s="19">
        <v>5</v>
      </c>
      <c r="F5" s="19">
        <v>7</v>
      </c>
      <c r="G5" s="18" t="s">
        <v>97</v>
      </c>
      <c r="H5" s="19">
        <v>100</v>
      </c>
      <c r="I5" s="18" t="s">
        <v>144</v>
      </c>
    </row>
    <row r="6" spans="1:10" ht="18" thickBot="1" x14ac:dyDescent="0.4">
      <c r="A6" s="8">
        <v>7</v>
      </c>
      <c r="B6" s="19">
        <v>802</v>
      </c>
      <c r="C6" s="18" t="s">
        <v>120</v>
      </c>
      <c r="D6" s="18" t="s">
        <v>109</v>
      </c>
      <c r="E6" s="19">
        <v>5</v>
      </c>
      <c r="F6" s="19">
        <v>28</v>
      </c>
      <c r="G6" s="18" t="s">
        <v>97</v>
      </c>
      <c r="H6" s="19">
        <v>100</v>
      </c>
      <c r="I6" s="18" t="s">
        <v>146</v>
      </c>
    </row>
    <row r="7" spans="1:10" ht="18" thickBot="1" x14ac:dyDescent="0.4">
      <c r="A7" s="8">
        <v>9</v>
      </c>
      <c r="B7" s="19">
        <v>739</v>
      </c>
      <c r="C7" s="18" t="s">
        <v>121</v>
      </c>
      <c r="D7" s="18" t="s">
        <v>66</v>
      </c>
      <c r="E7" s="19">
        <v>4</v>
      </c>
      <c r="F7" s="19">
        <v>8</v>
      </c>
      <c r="G7" s="18" t="s">
        <v>97</v>
      </c>
      <c r="H7" s="19">
        <v>100</v>
      </c>
      <c r="I7" s="18" t="s">
        <v>146</v>
      </c>
    </row>
    <row r="8" spans="1:10" ht="18" thickBot="1" x14ac:dyDescent="0.4">
      <c r="A8" s="8">
        <v>10</v>
      </c>
      <c r="B8" s="19">
        <v>732</v>
      </c>
      <c r="C8" s="18" t="s">
        <v>33</v>
      </c>
      <c r="D8" s="18" t="s">
        <v>5</v>
      </c>
      <c r="E8" s="19">
        <v>4</v>
      </c>
      <c r="F8" s="19">
        <v>9</v>
      </c>
      <c r="G8" s="18" t="s">
        <v>97</v>
      </c>
      <c r="H8" s="19">
        <v>100</v>
      </c>
      <c r="I8" s="18" t="s">
        <v>146</v>
      </c>
    </row>
    <row r="9" spans="1:10" ht="18" thickBot="1" x14ac:dyDescent="0.4">
      <c r="A9" s="8">
        <v>14</v>
      </c>
      <c r="B9" s="19">
        <v>696</v>
      </c>
      <c r="C9" s="18" t="s">
        <v>122</v>
      </c>
      <c r="D9" s="18" t="s">
        <v>66</v>
      </c>
      <c r="E9" s="19">
        <v>3</v>
      </c>
      <c r="F9" s="19">
        <v>13</v>
      </c>
      <c r="G9" s="18" t="s">
        <v>97</v>
      </c>
      <c r="H9" s="19">
        <v>100</v>
      </c>
      <c r="I9" s="18" t="s">
        <v>147</v>
      </c>
    </row>
    <row r="10" spans="1:10" ht="18" thickBot="1" x14ac:dyDescent="0.4">
      <c r="A10" s="8">
        <v>15</v>
      </c>
      <c r="B10" s="19">
        <v>686</v>
      </c>
      <c r="C10" s="18" t="s">
        <v>38</v>
      </c>
      <c r="D10" s="18" t="s">
        <v>5</v>
      </c>
      <c r="E10" s="19">
        <v>4</v>
      </c>
      <c r="F10" s="19">
        <v>12</v>
      </c>
      <c r="G10" s="18" t="s">
        <v>97</v>
      </c>
      <c r="H10" s="19">
        <v>100</v>
      </c>
      <c r="I10" s="18" t="s">
        <v>147</v>
      </c>
    </row>
    <row r="11" spans="1:10" ht="18" thickBot="1" x14ac:dyDescent="0.4">
      <c r="A11" s="8">
        <v>18</v>
      </c>
      <c r="B11" s="19">
        <v>676</v>
      </c>
      <c r="C11" s="18" t="s">
        <v>43</v>
      </c>
      <c r="D11" s="18" t="s">
        <v>5</v>
      </c>
      <c r="E11" s="19">
        <v>4</v>
      </c>
      <c r="F11" s="19">
        <v>11</v>
      </c>
      <c r="G11" s="18" t="s">
        <v>97</v>
      </c>
      <c r="H11" s="19">
        <v>100</v>
      </c>
      <c r="I11" s="18" t="s">
        <v>147</v>
      </c>
    </row>
    <row r="12" spans="1:10" ht="18" thickBot="1" x14ac:dyDescent="0.4">
      <c r="A12" s="8">
        <v>19</v>
      </c>
      <c r="B12" s="19">
        <v>656</v>
      </c>
      <c r="C12" s="18" t="s">
        <v>123</v>
      </c>
      <c r="D12" s="18" t="s">
        <v>8</v>
      </c>
      <c r="E12" s="19">
        <v>3</v>
      </c>
      <c r="F12" s="19">
        <v>13</v>
      </c>
      <c r="G12" s="18" t="s">
        <v>97</v>
      </c>
      <c r="H12" s="19">
        <v>100</v>
      </c>
      <c r="I12" s="18" t="s">
        <v>147</v>
      </c>
    </row>
    <row r="13" spans="1:10" ht="18" thickBot="1" x14ac:dyDescent="0.4">
      <c r="A13" s="8">
        <v>20</v>
      </c>
      <c r="B13" s="19">
        <v>653</v>
      </c>
      <c r="C13" s="18" t="s">
        <v>124</v>
      </c>
      <c r="D13" s="18" t="s">
        <v>66</v>
      </c>
      <c r="E13" s="19">
        <v>3</v>
      </c>
      <c r="F13" s="19">
        <v>13</v>
      </c>
      <c r="G13" s="18" t="s">
        <v>97</v>
      </c>
      <c r="H13" s="19">
        <v>100</v>
      </c>
      <c r="I13" s="18" t="s">
        <v>145</v>
      </c>
    </row>
    <row r="14" spans="1:10" ht="18" thickBot="1" x14ac:dyDescent="0.4">
      <c r="A14" s="8">
        <v>25</v>
      </c>
      <c r="B14" s="19">
        <v>593</v>
      </c>
      <c r="C14" s="18" t="s">
        <v>125</v>
      </c>
      <c r="D14" s="18" t="s">
        <v>8</v>
      </c>
      <c r="E14" s="19">
        <v>4</v>
      </c>
      <c r="F14" s="19">
        <v>6</v>
      </c>
      <c r="G14" s="18" t="s">
        <v>97</v>
      </c>
      <c r="H14" s="19">
        <v>100</v>
      </c>
      <c r="I14" s="18" t="s">
        <v>147</v>
      </c>
    </row>
    <row r="15" spans="1:10" ht="18" thickBot="1" x14ac:dyDescent="0.4">
      <c r="A15" s="8">
        <v>26</v>
      </c>
      <c r="B15" s="19">
        <v>592</v>
      </c>
      <c r="C15" s="18" t="s">
        <v>126</v>
      </c>
      <c r="D15" s="18" t="s">
        <v>8</v>
      </c>
      <c r="E15" s="19">
        <v>4</v>
      </c>
      <c r="F15" s="19">
        <v>7</v>
      </c>
      <c r="G15" s="18" t="s">
        <v>97</v>
      </c>
      <c r="H15" s="19">
        <v>100</v>
      </c>
      <c r="I15" s="18" t="s">
        <v>147</v>
      </c>
    </row>
    <row r="16" spans="1:10" ht="18" thickBot="1" x14ac:dyDescent="0.4">
      <c r="A16" s="8">
        <v>27</v>
      </c>
      <c r="B16" s="19">
        <v>600</v>
      </c>
      <c r="C16" s="18" t="s">
        <v>127</v>
      </c>
      <c r="D16" s="18" t="s">
        <v>8</v>
      </c>
      <c r="E16" s="19">
        <v>3</v>
      </c>
      <c r="F16" s="19">
        <v>6</v>
      </c>
      <c r="G16" s="18" t="s">
        <v>97</v>
      </c>
      <c r="H16" s="19">
        <v>100</v>
      </c>
      <c r="I16" s="18" t="s">
        <v>145</v>
      </c>
    </row>
    <row r="17" spans="1:9" ht="18" thickBot="1" x14ac:dyDescent="0.4">
      <c r="A17" s="8">
        <v>28</v>
      </c>
      <c r="B17" s="19">
        <v>814</v>
      </c>
      <c r="C17" s="18" t="s">
        <v>128</v>
      </c>
      <c r="D17" s="18" t="s">
        <v>8</v>
      </c>
      <c r="E17" s="19">
        <v>4</v>
      </c>
      <c r="F17" s="19">
        <v>6</v>
      </c>
      <c r="G17" s="18" t="s">
        <v>97</v>
      </c>
      <c r="H17" s="19">
        <v>100</v>
      </c>
      <c r="I17" s="18" t="s">
        <v>145</v>
      </c>
    </row>
    <row r="18" spans="1:9" ht="18" thickBot="1" x14ac:dyDescent="0.4">
      <c r="A18" s="8">
        <v>33</v>
      </c>
      <c r="B18" s="19">
        <v>952</v>
      </c>
      <c r="C18" s="18" t="s">
        <v>129</v>
      </c>
      <c r="D18" s="18" t="s">
        <v>8</v>
      </c>
      <c r="E18" s="19">
        <v>10</v>
      </c>
      <c r="F18" s="19">
        <v>12</v>
      </c>
      <c r="G18" s="18" t="s">
        <v>97</v>
      </c>
      <c r="H18" s="19">
        <v>100</v>
      </c>
      <c r="I18" s="18" t="s">
        <v>145</v>
      </c>
    </row>
    <row r="19" spans="1:9" ht="18" thickBot="1" x14ac:dyDescent="0.4">
      <c r="A19" s="8">
        <v>34</v>
      </c>
      <c r="B19" s="19">
        <v>947</v>
      </c>
      <c r="C19" s="18" t="s">
        <v>130</v>
      </c>
      <c r="D19" s="18" t="s">
        <v>108</v>
      </c>
      <c r="E19" s="19">
        <v>30</v>
      </c>
      <c r="F19" s="19">
        <v>31</v>
      </c>
      <c r="G19" s="18" t="s">
        <v>97</v>
      </c>
      <c r="H19" s="19">
        <v>100</v>
      </c>
      <c r="I19" s="18" t="s">
        <v>147</v>
      </c>
    </row>
    <row r="20" spans="1:9" ht="18" thickBot="1" x14ac:dyDescent="0.4">
      <c r="A20" s="8">
        <v>35</v>
      </c>
      <c r="B20" s="19">
        <v>790</v>
      </c>
      <c r="C20" s="18" t="s">
        <v>131</v>
      </c>
      <c r="D20" s="18" t="s">
        <v>110</v>
      </c>
      <c r="E20" s="19">
        <v>5</v>
      </c>
      <c r="F20" s="19">
        <v>20</v>
      </c>
      <c r="G20" s="18" t="s">
        <v>97</v>
      </c>
      <c r="H20" s="19">
        <v>100</v>
      </c>
      <c r="I20" s="18" t="s">
        <v>145</v>
      </c>
    </row>
    <row r="21" spans="1:9" ht="18" thickBot="1" x14ac:dyDescent="0.4">
      <c r="A21" s="8">
        <v>36</v>
      </c>
      <c r="B21" s="19">
        <v>850</v>
      </c>
      <c r="C21" s="18" t="s">
        <v>132</v>
      </c>
      <c r="D21" s="18" t="s">
        <v>110</v>
      </c>
      <c r="E21" s="19">
        <v>3</v>
      </c>
      <c r="F21" s="19">
        <v>4</v>
      </c>
      <c r="G21" s="18" t="s">
        <v>97</v>
      </c>
      <c r="H21" s="19">
        <v>100</v>
      </c>
      <c r="I21" s="18" t="s">
        <v>148</v>
      </c>
    </row>
    <row r="22" spans="1:9" ht="18" thickBot="1" x14ac:dyDescent="0.4">
      <c r="A22" s="8">
        <v>37</v>
      </c>
      <c r="B22" s="19">
        <v>927</v>
      </c>
      <c r="C22" s="18" t="s">
        <v>133</v>
      </c>
      <c r="D22" s="18" t="s">
        <v>108</v>
      </c>
      <c r="E22" s="19">
        <v>5</v>
      </c>
      <c r="F22" s="19">
        <v>6</v>
      </c>
      <c r="G22" s="18" t="s">
        <v>97</v>
      </c>
      <c r="H22" s="19">
        <v>100</v>
      </c>
      <c r="I22" s="18" t="s">
        <v>147</v>
      </c>
    </row>
    <row r="23" spans="1:9" ht="18" thickBot="1" x14ac:dyDescent="0.4">
      <c r="A23" s="8">
        <v>38</v>
      </c>
      <c r="B23" s="19">
        <v>982</v>
      </c>
      <c r="C23" s="18" t="s">
        <v>134</v>
      </c>
      <c r="D23" s="18" t="s">
        <v>66</v>
      </c>
      <c r="E23" s="19">
        <v>3</v>
      </c>
      <c r="F23" s="19">
        <v>13</v>
      </c>
      <c r="G23" s="18" t="s">
        <v>97</v>
      </c>
      <c r="H23" s="19">
        <v>100</v>
      </c>
      <c r="I23" s="18" t="s">
        <v>147</v>
      </c>
    </row>
    <row r="24" spans="1:9" ht="18" thickBot="1" x14ac:dyDescent="0.4">
      <c r="A24" s="8">
        <v>8</v>
      </c>
      <c r="B24" s="19">
        <v>751</v>
      </c>
      <c r="C24" s="18" t="s">
        <v>30</v>
      </c>
      <c r="D24" s="18" t="s">
        <v>5</v>
      </c>
      <c r="E24" s="19">
        <v>15</v>
      </c>
      <c r="F24" s="19">
        <v>14</v>
      </c>
      <c r="G24" s="18" t="s">
        <v>98</v>
      </c>
      <c r="H24" s="19">
        <v>93.3</v>
      </c>
      <c r="I24" s="18" t="s">
        <v>147</v>
      </c>
    </row>
    <row r="25" spans="1:9" ht="18" thickBot="1" x14ac:dyDescent="0.4">
      <c r="A25" s="8">
        <v>12</v>
      </c>
      <c r="B25" s="19">
        <v>714</v>
      </c>
      <c r="C25" s="18" t="s">
        <v>135</v>
      </c>
      <c r="D25" s="18" t="s">
        <v>108</v>
      </c>
      <c r="E25" s="19">
        <v>5</v>
      </c>
      <c r="F25" s="19">
        <v>1</v>
      </c>
      <c r="G25" s="18" t="s">
        <v>98</v>
      </c>
      <c r="H25" s="19">
        <v>20</v>
      </c>
      <c r="I25" s="18" t="s">
        <v>147</v>
      </c>
    </row>
    <row r="26" spans="1:9" ht="18" thickBot="1" x14ac:dyDescent="0.4">
      <c r="A26" s="8">
        <v>13</v>
      </c>
      <c r="B26" s="19">
        <v>709</v>
      </c>
      <c r="C26" s="18" t="s">
        <v>136</v>
      </c>
      <c r="D26" s="18" t="s">
        <v>108</v>
      </c>
      <c r="E26" s="19">
        <v>5</v>
      </c>
      <c r="F26" s="19">
        <v>1</v>
      </c>
      <c r="G26" s="18" t="s">
        <v>98</v>
      </c>
      <c r="H26" s="19">
        <v>20</v>
      </c>
      <c r="I26" s="18" t="s">
        <v>147</v>
      </c>
    </row>
    <row r="27" spans="1:9" ht="18" thickBot="1" x14ac:dyDescent="0.4">
      <c r="A27" s="8">
        <v>21</v>
      </c>
      <c r="B27" s="19">
        <v>648</v>
      </c>
      <c r="C27" s="18" t="s">
        <v>50</v>
      </c>
      <c r="D27" s="18" t="s">
        <v>5</v>
      </c>
      <c r="E27" s="19">
        <v>5</v>
      </c>
      <c r="F27" s="19">
        <v>4</v>
      </c>
      <c r="G27" s="18" t="s">
        <v>98</v>
      </c>
      <c r="H27" s="19">
        <v>80</v>
      </c>
      <c r="I27" s="18" t="s">
        <v>147</v>
      </c>
    </row>
    <row r="28" spans="1:9" ht="18" thickBot="1" x14ac:dyDescent="0.4">
      <c r="A28" s="8">
        <v>24</v>
      </c>
      <c r="B28" s="19">
        <v>599</v>
      </c>
      <c r="C28" s="18" t="s">
        <v>137</v>
      </c>
      <c r="D28" s="18" t="s">
        <v>66</v>
      </c>
      <c r="E28" s="19">
        <v>6</v>
      </c>
      <c r="F28" s="19">
        <v>5</v>
      </c>
      <c r="G28" s="18" t="s">
        <v>98</v>
      </c>
      <c r="H28" s="19">
        <v>83.3</v>
      </c>
      <c r="I28" s="18" t="s">
        <v>147</v>
      </c>
    </row>
    <row r="29" spans="1:9" ht="18" thickBot="1" x14ac:dyDescent="0.4">
      <c r="A29" s="8">
        <v>30</v>
      </c>
      <c r="B29" s="19">
        <v>699</v>
      </c>
      <c r="C29" s="18" t="s">
        <v>138</v>
      </c>
      <c r="D29" s="18" t="s">
        <v>66</v>
      </c>
      <c r="E29" s="19">
        <v>17</v>
      </c>
      <c r="F29" s="19">
        <v>16</v>
      </c>
      <c r="G29" s="18" t="s">
        <v>98</v>
      </c>
      <c r="H29" s="19">
        <v>94.1</v>
      </c>
      <c r="I29" s="18" t="s">
        <v>147</v>
      </c>
    </row>
    <row r="30" spans="1:9" ht="18" thickBot="1" x14ac:dyDescent="0.4">
      <c r="A30" s="8">
        <v>31</v>
      </c>
      <c r="B30" s="19">
        <v>930</v>
      </c>
      <c r="C30" s="18" t="s">
        <v>139</v>
      </c>
      <c r="D30" s="18" t="s">
        <v>110</v>
      </c>
      <c r="E30" s="19">
        <v>17</v>
      </c>
      <c r="F30" s="19">
        <v>16</v>
      </c>
      <c r="G30" s="18" t="s">
        <v>98</v>
      </c>
      <c r="H30" s="19">
        <v>94.1</v>
      </c>
      <c r="I30" s="18" t="s">
        <v>147</v>
      </c>
    </row>
    <row r="31" spans="1:9" ht="18" thickBot="1" x14ac:dyDescent="0.4">
      <c r="A31" s="8">
        <v>1</v>
      </c>
      <c r="B31" s="19">
        <v>971</v>
      </c>
      <c r="C31" s="18" t="s">
        <v>6</v>
      </c>
      <c r="D31" s="18" t="s">
        <v>8</v>
      </c>
      <c r="E31" s="19">
        <v>21</v>
      </c>
      <c r="F31" s="19">
        <v>0</v>
      </c>
      <c r="G31" s="18" t="s">
        <v>96</v>
      </c>
      <c r="H31" s="19">
        <v>0</v>
      </c>
      <c r="I31" s="18" t="s">
        <v>149</v>
      </c>
    </row>
    <row r="32" spans="1:9" ht="18" thickBot="1" x14ac:dyDescent="0.4">
      <c r="A32" s="8">
        <v>5</v>
      </c>
      <c r="B32" s="19">
        <v>854</v>
      </c>
      <c r="C32" s="18" t="s">
        <v>23</v>
      </c>
      <c r="D32" s="18" t="s">
        <v>25</v>
      </c>
      <c r="E32" s="19">
        <v>5</v>
      </c>
      <c r="F32" s="19">
        <v>0</v>
      </c>
      <c r="G32" s="18" t="s">
        <v>96</v>
      </c>
      <c r="H32" s="19">
        <v>0</v>
      </c>
      <c r="I32" s="18" t="s">
        <v>149</v>
      </c>
    </row>
    <row r="33" spans="1:9" ht="18" thickBot="1" x14ac:dyDescent="0.4">
      <c r="A33" s="8">
        <v>6</v>
      </c>
      <c r="B33" s="19">
        <v>809</v>
      </c>
      <c r="C33" s="18" t="s">
        <v>140</v>
      </c>
      <c r="D33" s="18" t="s">
        <v>108</v>
      </c>
      <c r="E33" s="19">
        <v>1</v>
      </c>
      <c r="F33" s="19">
        <v>0</v>
      </c>
      <c r="G33" s="18" t="s">
        <v>96</v>
      </c>
      <c r="H33" s="19">
        <v>0</v>
      </c>
      <c r="I33" s="18" t="s">
        <v>149</v>
      </c>
    </row>
    <row r="34" spans="1:9" ht="18" thickBot="1" x14ac:dyDescent="0.4">
      <c r="A34" s="8">
        <v>11</v>
      </c>
      <c r="B34" s="19">
        <v>723</v>
      </c>
      <c r="C34" s="18" t="s">
        <v>35</v>
      </c>
      <c r="D34" s="18" t="s">
        <v>37</v>
      </c>
      <c r="E34" s="19">
        <v>4</v>
      </c>
      <c r="F34" s="19">
        <v>0</v>
      </c>
      <c r="G34" s="18" t="s">
        <v>96</v>
      </c>
      <c r="H34" s="19">
        <v>0</v>
      </c>
      <c r="I34" s="18" t="s">
        <v>149</v>
      </c>
    </row>
    <row r="35" spans="1:9" ht="18" thickBot="1" x14ac:dyDescent="0.4">
      <c r="A35" s="8">
        <v>16</v>
      </c>
      <c r="B35" s="19">
        <v>685</v>
      </c>
      <c r="C35" s="18" t="s">
        <v>40</v>
      </c>
      <c r="D35" s="18" t="s">
        <v>37</v>
      </c>
      <c r="E35" s="19">
        <v>5</v>
      </c>
      <c r="F35" s="19">
        <v>0</v>
      </c>
      <c r="G35" s="18" t="s">
        <v>96</v>
      </c>
      <c r="H35" s="19">
        <v>0</v>
      </c>
      <c r="I35" s="18" t="s">
        <v>149</v>
      </c>
    </row>
    <row r="36" spans="1:9" ht="18" thickBot="1" x14ac:dyDescent="0.4">
      <c r="A36" s="8">
        <v>17</v>
      </c>
      <c r="B36" s="19">
        <v>681</v>
      </c>
      <c r="C36" s="18" t="s">
        <v>41</v>
      </c>
      <c r="D36" s="18" t="s">
        <v>5</v>
      </c>
      <c r="E36" s="19">
        <v>7</v>
      </c>
      <c r="F36" s="19">
        <v>0</v>
      </c>
      <c r="G36" s="18" t="s">
        <v>96</v>
      </c>
      <c r="H36" s="19">
        <v>0</v>
      </c>
      <c r="I36" s="18" t="s">
        <v>149</v>
      </c>
    </row>
    <row r="37" spans="1:9" ht="18" thickBot="1" x14ac:dyDescent="0.4">
      <c r="A37" s="8">
        <v>22</v>
      </c>
      <c r="B37" s="19">
        <v>638</v>
      </c>
      <c r="C37" s="18" t="s">
        <v>54</v>
      </c>
      <c r="D37" s="18" t="s">
        <v>37</v>
      </c>
      <c r="E37" s="19">
        <v>4</v>
      </c>
      <c r="F37" s="19">
        <v>0</v>
      </c>
      <c r="G37" s="18" t="s">
        <v>96</v>
      </c>
      <c r="H37" s="19">
        <v>0</v>
      </c>
      <c r="I37" s="18" t="s">
        <v>149</v>
      </c>
    </row>
    <row r="38" spans="1:9" ht="18" thickBot="1" x14ac:dyDescent="0.4">
      <c r="A38" s="8">
        <v>29</v>
      </c>
      <c r="B38" s="19">
        <v>736</v>
      </c>
      <c r="C38" s="18" t="s">
        <v>64</v>
      </c>
      <c r="D38" s="18" t="s">
        <v>66</v>
      </c>
      <c r="E38" s="19">
        <v>10</v>
      </c>
      <c r="F38" s="19">
        <v>0</v>
      </c>
      <c r="G38" s="18" t="s">
        <v>96</v>
      </c>
      <c r="H38" s="19">
        <v>0</v>
      </c>
      <c r="I38" s="18" t="s">
        <v>149</v>
      </c>
    </row>
    <row r="39" spans="1:9" ht="18" thickBot="1" x14ac:dyDescent="0.4">
      <c r="A39" s="8">
        <v>32</v>
      </c>
      <c r="B39" s="19">
        <v>941</v>
      </c>
      <c r="C39" s="18" t="s">
        <v>71</v>
      </c>
      <c r="D39" s="18" t="s">
        <v>8</v>
      </c>
      <c r="E39" s="19">
        <v>11</v>
      </c>
      <c r="F39" s="19">
        <v>0</v>
      </c>
      <c r="G39" s="18" t="s">
        <v>96</v>
      </c>
      <c r="H39" s="19">
        <v>0</v>
      </c>
      <c r="I39" s="18" t="s">
        <v>149</v>
      </c>
    </row>
    <row r="40" spans="1:9" ht="140" x14ac:dyDescent="0.4">
      <c r="A40" s="27" t="s">
        <v>141</v>
      </c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025C-B774-4B9A-B09F-2468552C4C9D}">
  <dimension ref="A1:R18"/>
  <sheetViews>
    <sheetView tabSelected="1" topLeftCell="A3" workbookViewId="0">
      <selection activeCell="K18" sqref="K18"/>
    </sheetView>
  </sheetViews>
  <sheetFormatPr defaultRowHeight="14.5" x14ac:dyDescent="0.35"/>
  <sheetData>
    <row r="1" spans="1:9" ht="18" thickBot="1" x14ac:dyDescent="0.4">
      <c r="A1" s="22"/>
      <c r="B1" s="17" t="s">
        <v>150</v>
      </c>
      <c r="C1" s="17" t="s">
        <v>151</v>
      </c>
      <c r="D1" s="17" t="s">
        <v>152</v>
      </c>
      <c r="E1" s="17" t="s">
        <v>153</v>
      </c>
      <c r="F1" s="17" t="s">
        <v>154</v>
      </c>
      <c r="G1" s="17" t="s">
        <v>155</v>
      </c>
      <c r="H1" s="17" t="s">
        <v>156</v>
      </c>
      <c r="I1" s="17" t="s">
        <v>157</v>
      </c>
    </row>
    <row r="2" spans="1:9" ht="17.5" x14ac:dyDescent="0.35">
      <c r="A2" s="29"/>
      <c r="B2" s="29"/>
      <c r="C2" s="29"/>
      <c r="D2" s="29"/>
      <c r="E2" s="29"/>
      <c r="F2" s="29"/>
      <c r="G2" s="29"/>
      <c r="H2" s="29"/>
      <c r="I2" s="29"/>
    </row>
    <row r="3" spans="1:9" ht="18" thickBot="1" x14ac:dyDescent="0.4">
      <c r="A3" s="8">
        <v>1</v>
      </c>
      <c r="B3" s="19">
        <v>973</v>
      </c>
      <c r="C3" s="18" t="s">
        <v>158</v>
      </c>
      <c r="D3" s="21" t="s">
        <v>2</v>
      </c>
      <c r="E3" s="19">
        <v>2</v>
      </c>
      <c r="F3" s="19">
        <v>15</v>
      </c>
      <c r="G3" s="19">
        <v>15</v>
      </c>
      <c r="H3" s="19">
        <v>24</v>
      </c>
      <c r="I3" s="18" t="s">
        <v>159</v>
      </c>
    </row>
    <row r="4" spans="1:9" ht="18" thickBot="1" x14ac:dyDescent="0.4">
      <c r="A4" s="8">
        <v>2</v>
      </c>
      <c r="B4" s="19">
        <v>961</v>
      </c>
      <c r="C4" s="18" t="s">
        <v>160</v>
      </c>
      <c r="D4" s="18" t="s">
        <v>161</v>
      </c>
      <c r="E4" s="19">
        <v>2</v>
      </c>
      <c r="F4" s="19">
        <v>20</v>
      </c>
      <c r="G4" s="19">
        <v>20</v>
      </c>
      <c r="H4" s="19">
        <v>37</v>
      </c>
      <c r="I4" s="18" t="s">
        <v>162</v>
      </c>
    </row>
    <row r="5" spans="1:9" ht="18" thickBot="1" x14ac:dyDescent="0.4">
      <c r="A5" s="8">
        <v>3</v>
      </c>
      <c r="B5" s="19">
        <v>961</v>
      </c>
      <c r="C5" s="18" t="s">
        <v>163</v>
      </c>
      <c r="D5" s="18" t="s">
        <v>164</v>
      </c>
      <c r="E5" s="19">
        <v>1</v>
      </c>
      <c r="F5" s="19">
        <v>13</v>
      </c>
      <c r="G5" s="19">
        <v>13</v>
      </c>
      <c r="H5" s="19">
        <v>19</v>
      </c>
      <c r="I5" s="18" t="s">
        <v>165</v>
      </c>
    </row>
    <row r="6" spans="1:9" ht="18" thickBot="1" x14ac:dyDescent="0.4">
      <c r="A6" s="8">
        <v>4</v>
      </c>
      <c r="B6" s="19">
        <v>961</v>
      </c>
      <c r="C6" s="18" t="s">
        <v>166</v>
      </c>
      <c r="D6" s="18" t="s">
        <v>167</v>
      </c>
      <c r="E6" s="19">
        <v>3</v>
      </c>
      <c r="F6" s="19">
        <v>17</v>
      </c>
      <c r="G6" s="19">
        <v>17</v>
      </c>
      <c r="H6" s="19">
        <v>35</v>
      </c>
      <c r="I6" s="18" t="s">
        <v>168</v>
      </c>
    </row>
    <row r="7" spans="1:9" ht="18" thickBot="1" x14ac:dyDescent="0.4">
      <c r="A7" s="8">
        <v>5</v>
      </c>
      <c r="B7" s="19">
        <v>961</v>
      </c>
      <c r="C7" s="18" t="s">
        <v>169</v>
      </c>
      <c r="D7" s="18" t="s">
        <v>170</v>
      </c>
      <c r="E7" s="19">
        <v>1</v>
      </c>
      <c r="F7" s="19">
        <v>14</v>
      </c>
      <c r="G7" s="19">
        <v>14</v>
      </c>
      <c r="H7" s="19">
        <v>20</v>
      </c>
      <c r="I7" s="18" t="s">
        <v>171</v>
      </c>
    </row>
    <row r="8" spans="1:9" ht="18" thickBot="1" x14ac:dyDescent="0.4">
      <c r="A8" s="8">
        <v>6</v>
      </c>
      <c r="B8" s="19">
        <v>940</v>
      </c>
      <c r="C8" s="18" t="s">
        <v>172</v>
      </c>
      <c r="D8" s="18" t="s">
        <v>173</v>
      </c>
      <c r="E8" s="19">
        <v>1</v>
      </c>
      <c r="F8" s="19">
        <v>15</v>
      </c>
      <c r="G8" s="19">
        <v>15</v>
      </c>
      <c r="H8" s="19">
        <v>21</v>
      </c>
      <c r="I8" s="18" t="s">
        <v>174</v>
      </c>
    </row>
    <row r="9" spans="1:9" ht="18" thickBot="1" x14ac:dyDescent="0.4">
      <c r="A9" s="8">
        <v>7</v>
      </c>
      <c r="B9" s="19">
        <v>940</v>
      </c>
      <c r="C9" s="18" t="s">
        <v>175</v>
      </c>
      <c r="D9" s="18" t="s">
        <v>176</v>
      </c>
      <c r="E9" s="19">
        <v>1</v>
      </c>
      <c r="F9" s="19">
        <v>24</v>
      </c>
      <c r="G9" s="19">
        <v>24</v>
      </c>
      <c r="H9" s="19">
        <v>28</v>
      </c>
      <c r="I9" s="18" t="s">
        <v>177</v>
      </c>
    </row>
    <row r="10" spans="1:9" ht="18" thickBot="1" x14ac:dyDescent="0.4">
      <c r="A10" s="8">
        <v>8</v>
      </c>
      <c r="B10" s="19">
        <v>916</v>
      </c>
      <c r="C10" s="18" t="s">
        <v>178</v>
      </c>
      <c r="D10" s="18" t="s">
        <v>179</v>
      </c>
      <c r="E10" s="19">
        <v>1</v>
      </c>
      <c r="F10" s="19">
        <v>15</v>
      </c>
      <c r="G10" s="19">
        <v>15</v>
      </c>
      <c r="H10" s="19">
        <v>20</v>
      </c>
      <c r="I10" s="18" t="s">
        <v>180</v>
      </c>
    </row>
    <row r="11" spans="1:9" ht="18" thickBot="1" x14ac:dyDescent="0.4">
      <c r="A11" s="8">
        <v>9</v>
      </c>
      <c r="B11" s="19">
        <v>953</v>
      </c>
      <c r="C11" s="18" t="s">
        <v>181</v>
      </c>
      <c r="D11" s="18" t="s">
        <v>182</v>
      </c>
      <c r="E11" s="19">
        <v>1</v>
      </c>
      <c r="F11" s="19">
        <v>11</v>
      </c>
      <c r="G11" s="19">
        <v>11</v>
      </c>
      <c r="H11" s="19">
        <v>16</v>
      </c>
      <c r="I11" s="18" t="s">
        <v>183</v>
      </c>
    </row>
    <row r="12" spans="1:9" ht="18" thickBot="1" x14ac:dyDescent="0.4">
      <c r="A12" s="8">
        <v>10</v>
      </c>
      <c r="B12" s="19">
        <v>953</v>
      </c>
      <c r="C12" s="18" t="s">
        <v>184</v>
      </c>
      <c r="D12" s="18" t="s">
        <v>185</v>
      </c>
      <c r="E12" s="19">
        <v>1</v>
      </c>
      <c r="F12" s="19">
        <v>16</v>
      </c>
      <c r="G12" s="19">
        <v>16</v>
      </c>
      <c r="H12" s="19">
        <v>22</v>
      </c>
      <c r="I12" s="18" t="s">
        <v>186</v>
      </c>
    </row>
    <row r="13" spans="1:9" ht="18" thickBot="1" x14ac:dyDescent="0.4">
      <c r="A13" s="8">
        <v>11</v>
      </c>
      <c r="B13" s="19">
        <v>953</v>
      </c>
      <c r="C13" s="18" t="s">
        <v>187</v>
      </c>
      <c r="D13" s="21" t="s">
        <v>2</v>
      </c>
      <c r="E13" s="19">
        <v>1</v>
      </c>
      <c r="F13" s="19">
        <v>17</v>
      </c>
      <c r="G13" s="19">
        <v>17</v>
      </c>
      <c r="H13" s="19">
        <v>23</v>
      </c>
      <c r="I13" s="18" t="s">
        <v>188</v>
      </c>
    </row>
    <row r="14" spans="1:9" ht="18" thickBot="1" x14ac:dyDescent="0.4">
      <c r="A14" s="8">
        <v>12</v>
      </c>
      <c r="B14" s="19">
        <v>953</v>
      </c>
      <c r="C14" s="18" t="s">
        <v>189</v>
      </c>
      <c r="D14" s="18" t="s">
        <v>190</v>
      </c>
      <c r="E14" s="19">
        <v>1</v>
      </c>
      <c r="F14" s="19">
        <v>15</v>
      </c>
      <c r="G14" s="19">
        <v>15</v>
      </c>
      <c r="H14" s="19">
        <v>19</v>
      </c>
      <c r="I14" s="18" t="s">
        <v>191</v>
      </c>
    </row>
    <row r="15" spans="1:9" ht="18" thickBot="1" x14ac:dyDescent="0.4">
      <c r="A15" s="8">
        <v>13</v>
      </c>
      <c r="B15" s="19">
        <v>953</v>
      </c>
      <c r="C15" s="18" t="s">
        <v>192</v>
      </c>
      <c r="D15" s="18" t="s">
        <v>193</v>
      </c>
      <c r="E15" s="19">
        <v>1</v>
      </c>
      <c r="F15" s="19">
        <v>12</v>
      </c>
      <c r="G15" s="19">
        <v>12</v>
      </c>
      <c r="H15" s="19">
        <v>17</v>
      </c>
      <c r="I15" s="18" t="s">
        <v>194</v>
      </c>
    </row>
    <row r="16" spans="1:9" ht="18" thickBot="1" x14ac:dyDescent="0.4">
      <c r="A16" s="8">
        <v>14</v>
      </c>
      <c r="B16" s="19">
        <v>975</v>
      </c>
      <c r="C16" s="18" t="s">
        <v>195</v>
      </c>
      <c r="D16" s="21" t="s">
        <v>2</v>
      </c>
      <c r="E16" s="19">
        <v>1</v>
      </c>
      <c r="F16" s="19">
        <v>11</v>
      </c>
      <c r="G16" s="19">
        <v>11</v>
      </c>
      <c r="H16" s="19">
        <v>13</v>
      </c>
      <c r="I16" s="18"/>
    </row>
    <row r="17" spans="1:18" ht="140" x14ac:dyDescent="0.4">
      <c r="A17" s="27" t="s">
        <v>196</v>
      </c>
      <c r="B17" s="2"/>
      <c r="C17" s="2"/>
      <c r="D17" s="2"/>
      <c r="E17" s="2"/>
      <c r="F17" s="2"/>
      <c r="G17" s="2"/>
      <c r="H17" s="2"/>
      <c r="I17" s="2"/>
    </row>
    <row r="18" spans="1:18" ht="18" thickBot="1" x14ac:dyDescent="0.4">
      <c r="F18" s="18" t="s">
        <v>159</v>
      </c>
      <c r="G18" s="18" t="s">
        <v>162</v>
      </c>
      <c r="H18" s="18" t="s">
        <v>165</v>
      </c>
      <c r="I18" s="18" t="s">
        <v>168</v>
      </c>
      <c r="J18" s="18" t="s">
        <v>171</v>
      </c>
      <c r="K18" s="18" t="s">
        <v>174</v>
      </c>
      <c r="L18" s="18" t="s">
        <v>177</v>
      </c>
      <c r="M18" s="18" t="s">
        <v>180</v>
      </c>
      <c r="N18" s="18" t="s">
        <v>183</v>
      </c>
      <c r="O18" s="18" t="s">
        <v>186</v>
      </c>
      <c r="P18" s="18" t="s">
        <v>188</v>
      </c>
      <c r="Q18" s="18" t="s">
        <v>191</v>
      </c>
      <c r="R18" s="18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Followup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2025-11-22T15:50:50Z</dcterms:created>
  <dcterms:modified xsi:type="dcterms:W3CDTF">2025-11-24T16:02:28Z</dcterms:modified>
</cp:coreProperties>
</file>